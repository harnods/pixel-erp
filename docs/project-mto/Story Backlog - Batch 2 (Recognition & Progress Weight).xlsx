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Story Backlog" sheetId="2" state="visible" r:id="rId2"/>
    <sheet name="Acceptance Criteria" sheetId="3" state="visible" r:id="rId3"/>
    <sheet name="Validation Rules" sheetId="4" state="visible" r:id="rId4"/>
    <sheet name="Error Handling" sheetId="5" state="visible" r:id="rId5"/>
    <sheet name="Dependencies" sheetId="6" state="visible" r:id="rId6"/>
    <sheet name="Observability" sheetId="7" state="visible" r:id="rId7"/>
    <sheet name="Coverage Matrix" sheetId="8" state="visible" r:id="rId8"/>
    <sheet name="Sprint Readiness" sheetId="9" state="visible" r:id="rId9"/>
    <sheet name="Gaps &amp; Decisions"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0"/>
    </font>
  </fonts>
  <fills count="3">
    <fill>
      <patternFill/>
    </fill>
    <fill>
      <patternFill patternType="gray125"/>
    </fill>
    <fill>
      <patternFill patternType="solid">
        <fgColor rgb="001F4E3D"/>
      </patternFill>
    </fill>
  </fills>
  <borders count="2">
    <border>
      <left/>
      <right/>
      <top/>
      <bottom/>
      <diagonal/>
    </border>
    <border>
      <left style="thin">
        <color rgb="00D0D6DD"/>
      </left>
      <right style="thin">
        <color rgb="00D0D6DD"/>
      </right>
      <top style="thin">
        <color rgb="00D0D6DD"/>
      </top>
      <bottom style="thin">
        <color rgb="00D0D6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StoryBacklog" displayName="StoryBacklog" ref="A1:J13" headerRowCount="1">
  <autoFilter ref="A1:J13"/>
  <tableColumns count="10">
    <tableColumn id="1" name="Issue Type"/>
    <tableColumn id="2" name="Story ID"/>
    <tableColumn id="3" name="Summary"/>
    <tableColumn id="4" name="Description"/>
    <tableColumn id="5" name="Priority"/>
    <tableColumn id="6" name="Story Points"/>
    <tableColumn id="7" name="Epic Link"/>
    <tableColumn id="8" name="Labels"/>
    <tableColumn id="9" name="Component"/>
    <tableColumn id="10" name="Sprint"/>
  </tableColumns>
  <tableStyleInfo name="TableStyleLight1" showRowStripes="1"/>
</table>
</file>

<file path=xl/tables/table2.xml><?xml version="1.0" encoding="utf-8"?>
<table xmlns="http://schemas.openxmlformats.org/spreadsheetml/2006/main" id="2" name="AcceptanceCriteria" displayName="AcceptanceCriteria" ref="A1:E73" headerRowCount="1">
  <autoFilter ref="A1:E73"/>
  <tableColumns count="5">
    <tableColumn id="1" name="Criterion ID"/>
    <tableColumn id="2" name="Story"/>
    <tableColumn id="3" name="Type"/>
    <tableColumn id="4" name="Given / When / Then"/>
    <tableColumn id="5" name="Test case status"/>
  </tableColumns>
  <tableStyleInfo name="TableStyleLight1" showRowStripes="1"/>
</table>
</file>

<file path=xl/tables/table3.xml><?xml version="1.0" encoding="utf-8"?>
<table xmlns="http://schemas.openxmlformats.org/spreadsheetml/2006/main" id="3" name="ValidationRules" displayName="ValidationRules" ref="A1:D46" headerRowCount="1">
  <autoFilter ref="A1:D46"/>
  <tableColumns count="4">
    <tableColumn id="1" name="Rule ID"/>
    <tableColumn id="2" name="Story"/>
    <tableColumn id="3" name="Rule"/>
    <tableColumn id="4" name="Block / Warn / Format"/>
  </tableColumns>
  <tableStyleInfo name="TableStyleLight1" showRowStripes="1"/>
</table>
</file>

<file path=xl/tables/table4.xml><?xml version="1.0" encoding="utf-8"?>
<table xmlns="http://schemas.openxmlformats.org/spreadsheetml/2006/main" id="4" name="ErrorHandling" displayName="ErrorHandling" ref="A1:E32" headerRowCount="1">
  <autoFilter ref="A1:E32"/>
  <tableColumns count="5">
    <tableColumn id="1" name="Error ID"/>
    <tableColumn id="2" name="Story"/>
    <tableColumn id="3" name="Scenario"/>
    <tableColumn id="4" name="User copy (EN)"/>
    <tableColumn id="5" name="User copy (ID)"/>
  </tableColumns>
  <tableStyleInfo name="TableStyleLight1" showRowStripes="1"/>
</table>
</file>

<file path=xl/tables/table5.xml><?xml version="1.0" encoding="utf-8"?>
<table xmlns="http://schemas.openxmlformats.org/spreadsheetml/2006/main" id="5" name="Dependencies" displayName="Dependencies" ref="A1:D33" headerRowCount="1">
  <autoFilter ref="A1:D33"/>
  <tableColumns count="4">
    <tableColumn id="1" name="Dependency ID"/>
    <tableColumn id="2" name="Story"/>
    <tableColumn id="3" name="Depends on"/>
    <tableColumn id="4" name="Hard / Soft"/>
  </tableColumns>
  <tableStyleInfo name="TableStyleLight1" showRowStripes="1"/>
</table>
</file>

<file path=xl/tables/table6.xml><?xml version="1.0" encoding="utf-8"?>
<table xmlns="http://schemas.openxmlformats.org/spreadsheetml/2006/main" id="6" name="Observability" displayName="Observability" ref="A1:D27" headerRowCount="1">
  <autoFilter ref="A1:D27"/>
  <tableColumns count="4">
    <tableColumn id="1" name="Signal ID"/>
    <tableColumn id="2" name="Story"/>
    <tableColumn id="3" name="Type"/>
    <tableColumn id="4" name="Event / metric / log"/>
  </tableColumns>
  <tableStyleInfo name="TableStyleLight1" showRowStripes="1"/>
</table>
</file>

<file path=xl/tables/table7.xml><?xml version="1.0" encoding="utf-8"?>
<table xmlns="http://schemas.openxmlformats.org/spreadsheetml/2006/main" id="7" name="CoverageMatrix" displayName="CoverageMatrix" ref="A1:D25" headerRowCount="1">
  <autoFilter ref="A1:D25"/>
  <tableColumns count="4">
    <tableColumn id="1" name="PRD criterion"/>
    <tableColumn id="2" name="Source"/>
    <tableColumn id="3" name="PRD text"/>
    <tableColumn id="4" name="Covered by"/>
  </tableColumns>
  <tableStyleInfo name="TableStyleLight1" showRowStripes="1"/>
</table>
</file>

<file path=xl/tables/table8.xml><?xml version="1.0" encoding="utf-8"?>
<table xmlns="http://schemas.openxmlformats.org/spreadsheetml/2006/main" id="8" name="SprintReadiness" displayName="SprintReadiness" ref="A1:J13" headerRowCount="1">
  <autoFilter ref="A1:J13"/>
  <tableColumns count="10">
    <tableColumn id="1" name="Story"/>
    <tableColumn id="2" name="Title"/>
    <tableColumn id="3" name="Sprint"/>
    <tableColumn id="4" name="Points"/>
    <tableColumn id="5" name="Criteria"/>
    <tableColumn id="6" name="Valuable"/>
    <tableColumn id="7" name="Small"/>
    <tableColumn id="8" name="Independent"/>
    <tableColumn id="9" name="Open decisions"/>
    <tableColumn id="10" name="Ready?"/>
  </tableColumns>
  <tableStyleInfo name="TableStyleLight1" showRowStripes="1"/>
</table>
</file>

<file path=xl/tables/table9.xml><?xml version="1.0" encoding="utf-8"?>
<table xmlns="http://schemas.openxmlformats.org/spreadsheetml/2006/main" id="9" name="GapsandDecisions" displayName="GapsandDecisions" ref="A1:F15" headerRowCount="1">
  <autoFilter ref="A1:F15"/>
  <tableColumns count="6">
    <tableColumn id="1" name="Gap ID"/>
    <tableColumn id="2" name="Question"/>
    <tableColumn id="3" name="Recommendation"/>
    <tableColumn id="4" name="Status"/>
    <tableColumn id="5" name="Affects"/>
    <tableColumn id="6" name="Owner"/>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Shift-Left User Stories — Batch 2</t>
        </is>
      </c>
      <c r="B1" t="inlineStr"/>
    </row>
    <row r="2">
      <c r="A2" s="2" t="inlineStr">
        <is>
          <t>Scope</t>
        </is>
      </c>
      <c r="B2" s="3" t="inlineStr">
        <is>
          <t>Recognition engine (PRD Story 8) · Progress weight on the phase (PRD Story 9)</t>
        </is>
      </c>
    </row>
    <row r="3">
      <c r="A3" s="2" t="inlineStr">
        <is>
          <t>Source</t>
        </is>
      </c>
      <c r="B3" s="3" t="inlineStr">
        <is>
          <t>[PRD] Project Structure — Project MTO (Job Costing for Custom Make-to-Order), v5, 8 Sep 2026</t>
        </is>
      </c>
    </row>
    <row r="4">
      <c r="A4" s="2" t="inlineStr">
        <is>
          <t>Date</t>
        </is>
      </c>
      <c r="B4" s="3" t="inlineStr">
        <is>
          <t>22 Sep 2026</t>
        </is>
      </c>
    </row>
    <row r="5">
      <c r="A5" s="2" t="inlineStr">
        <is>
          <t>Status</t>
        </is>
      </c>
      <c r="B5" s="3" t="inlineStr">
        <is>
          <t>DRAFT — open-question answers are provisional until PM design review</t>
        </is>
      </c>
    </row>
    <row r="6">
      <c r="A6" s="2" t="inlineStr">
        <is>
          <t>UI phase</t>
        </is>
      </c>
      <c r="B6" s="3" t="inlineStr">
        <is>
          <t>UI phase 3 (plan Part 2) · closes prototype gaps P1 and P2</t>
        </is>
      </c>
    </row>
    <row r="7">
      <c r="A7" s="2" t="inlineStr">
        <is>
          <t>Prototype reference</t>
        </is>
      </c>
      <c r="B7" s="3" t="inlineStr">
        <is>
          <t>feat/project-mto — Recognition &amp; billing tab, Structure tab (localhost:4322)</t>
        </is>
      </c>
    </row>
    <row r="8">
      <c r="A8" s="2" t="inlineStr"/>
      <c r="B8" s="3" t="inlineStr"/>
    </row>
    <row r="9">
      <c r="A9" s="2" t="inlineStr">
        <is>
          <t>How to use</t>
        </is>
      </c>
      <c r="B9" s="3" t="inlineStr">
        <is>
          <t>Story Backlog is Jira-import ready (CSV export). QA writes test cases from Acceptance Criteria (one criterion per row). Error Handling holds exact user copy in English and Indonesian. Validation Rules say Block vs Warn for every rule.</t>
        </is>
      </c>
    </row>
    <row r="10">
      <c r="A10" s="2" t="inlineStr">
        <is>
          <t>Totals</t>
        </is>
      </c>
      <c r="B10" s="3" t="inlineStr"/>
    </row>
    <row r="11">
      <c r="A11" s="2" t="inlineStr">
        <is>
          <t>Stories</t>
        </is>
      </c>
      <c r="B11" s="3">
        <f>COUNTA('Story Backlog'!B2:B200)</f>
        <v/>
      </c>
    </row>
    <row r="12">
      <c r="A12" s="2" t="inlineStr">
        <is>
          <t>Acceptance criteria</t>
        </is>
      </c>
      <c r="B12" s="3">
        <f>COUNTA('Acceptance Criteria'!A2:A500)</f>
        <v/>
      </c>
    </row>
    <row r="13">
      <c r="A13" s="2" t="inlineStr">
        <is>
          <t>Story points</t>
        </is>
      </c>
      <c r="B13" s="3">
        <f>SUM('Story Backlog'!F2:F200)</f>
        <v/>
      </c>
    </row>
    <row r="14">
      <c r="A14" s="2" t="inlineStr">
        <is>
          <t>Open gaps (not closed)</t>
        </is>
      </c>
      <c r="B14" s="3">
        <f>COUNTA('Gaps &amp; Decisions'!A2:A200)-COUNTIF('Gaps &amp; Decisions'!D2:D200,"Closed*")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48" customWidth="1" min="3" max="3"/>
    <col width="70" customWidth="1" min="4" max="4"/>
    <col width="10" customWidth="1" min="5" max="5"/>
    <col width="12" customWidth="1" min="6" max="6"/>
    <col width="30" customWidth="1" min="7" max="7"/>
    <col width="34" customWidth="1" min="8" max="8"/>
    <col width="14" customWidth="1" min="9" max="9"/>
    <col width="11" customWidth="1" min="10" max="10"/>
  </cols>
  <sheetData>
    <row r="1">
      <c r="A1" s="4" t="inlineStr">
        <is>
          <t>Issue Type</t>
        </is>
      </c>
      <c r="B1" s="4" t="inlineStr">
        <is>
          <t>Story ID</t>
        </is>
      </c>
      <c r="C1" s="4" t="inlineStr">
        <is>
          <t>Summary</t>
        </is>
      </c>
      <c r="D1" s="4" t="inlineStr">
        <is>
          <t>Description</t>
        </is>
      </c>
      <c r="E1" s="4" t="inlineStr">
        <is>
          <t>Priority</t>
        </is>
      </c>
      <c r="F1" s="4" t="inlineStr">
        <is>
          <t>Story Points</t>
        </is>
      </c>
      <c r="G1" s="4" t="inlineStr">
        <is>
          <t>Epic Link</t>
        </is>
      </c>
      <c r="H1" s="4" t="inlineStr">
        <is>
          <t>Labels</t>
        </is>
      </c>
      <c r="I1" s="4" t="inlineStr">
        <is>
          <t>Component</t>
        </is>
      </c>
      <c r="J1" s="4" t="inlineStr">
        <is>
          <t>Sprint</t>
        </is>
      </c>
    </row>
    <row r="2">
      <c r="A2" s="5" t="inlineStr">
        <is>
          <t>Story</t>
        </is>
      </c>
      <c r="B2" s="5" t="inlineStr">
        <is>
          <t>PW-01</t>
        </is>
      </c>
      <c r="C2" s="5" t="inlineStr">
        <is>
          <t>[PW-01] Progress weight on the phase row and phase drawer</t>
        </is>
      </c>
      <c r="D2" s="5" t="inlineStr">
        <is>
          <t>As a Project Manager, I want to set a progress weight on each Level-2 phase, inline and in the add/edit phase drawer, so that Output recognition has its basis in the project structure instead of a separate milestone list.
PRD story: 9. Prototype: tabs/StructureTab.vue (weight input, phase drawer).
Acceptance criteria: see sheet 'Acceptance Criteria' (PW-01-AC1…AC7).</t>
        </is>
      </c>
      <c r="E2" s="5" t="inlineStr">
        <is>
          <t>Highest</t>
        </is>
      </c>
      <c r="F2" s="5" t="n">
        <v>3</v>
      </c>
      <c r="G2" s="5" t="inlineStr">
        <is>
          <t>Project MTO — Recognition &amp; billing</t>
        </is>
      </c>
      <c r="H2" s="5" t="inlineStr">
        <is>
          <t>project-mto batch-2 prd-story-9</t>
        </is>
      </c>
      <c r="I2" s="5" t="inlineStr">
        <is>
          <t>Structure</t>
        </is>
      </c>
      <c r="J2" s="5" t="inlineStr">
        <is>
          <t>Sprint 1</t>
        </is>
      </c>
    </row>
    <row r="3">
      <c r="A3" s="5" t="inlineStr">
        <is>
          <t>Story</t>
        </is>
      </c>
      <c r="B3" s="5" t="inlineStr">
        <is>
          <t>PW-02</t>
        </is>
      </c>
      <c r="C3" s="5" t="inlineStr">
        <is>
          <t>[PW-02] Weight total summary and the 100% gate</t>
        </is>
      </c>
      <c r="D3" s="5" t="inlineStr">
        <is>
          <t>As a Project Manager, I want to see at a glance whether my phase weights total exactly 100%, so that I never verify progress or approve a project on weights that don’t add up.
PRD story: 9. Prototype: tabs/StructureTab.vue (weight banner), tabs/RecognitionTab.vue.
Acceptance criteria: see sheet 'Acceptance Criteria' (PW-02-AC1…AC6).</t>
        </is>
      </c>
      <c r="E3" s="5" t="inlineStr">
        <is>
          <t>Highest</t>
        </is>
      </c>
      <c r="F3" s="5" t="n">
        <v>3</v>
      </c>
      <c r="G3" s="5" t="inlineStr">
        <is>
          <t>Project MTO — Recognition &amp; billing</t>
        </is>
      </c>
      <c r="H3" s="5" t="inlineStr">
        <is>
          <t>project-mto batch-2 prd-story-9</t>
        </is>
      </c>
      <c r="I3" s="5" t="inlineStr">
        <is>
          <t>Structure</t>
        </is>
      </c>
      <c r="J3" s="5" t="inlineStr">
        <is>
          <t>Sprint 1</t>
        </is>
      </c>
    </row>
    <row r="4">
      <c r="A4" s="5" t="inlineStr">
        <is>
          <t>Story</t>
        </is>
      </c>
      <c r="B4" s="5" t="inlineStr">
        <is>
          <t>PW-03</t>
        </is>
      </c>
      <c r="C4" s="5" t="inlineStr">
        <is>
          <t>[PW-03] Weight suggestion from RAB</t>
        </is>
      </c>
      <c r="D4" s="5" t="inlineStr">
        <is>
          <t>As a Project Manager, I want weights suggested from each phase’s share of the RAB, so that I start from the contract value split instead of guessing, and still decide the final weight.
PRD story: 9. Prototype: data/projects.ts suggestedWeight(); tabs/StructureTab.vue applySuggestions().
Acceptance criteria: see sheet 'Acceptance Criteria' (PW-03-AC1…AC6).</t>
        </is>
      </c>
      <c r="E4" s="5" t="inlineStr">
        <is>
          <t>High</t>
        </is>
      </c>
      <c r="F4" s="5" t="n">
        <v>3</v>
      </c>
      <c r="G4" s="5" t="inlineStr">
        <is>
          <t>Project MTO — Recognition &amp; billing</t>
        </is>
      </c>
      <c r="H4" s="5" t="inlineStr">
        <is>
          <t>project-mto batch-2 prd-story-9</t>
        </is>
      </c>
      <c r="I4" s="5" t="inlineStr">
        <is>
          <t>Structure</t>
        </is>
      </c>
      <c r="J4" s="5" t="inlineStr">
        <is>
          <t>Sprint 1</t>
        </is>
      </c>
    </row>
    <row r="5">
      <c r="A5" s="5" t="inlineStr">
        <is>
          <t>Story</t>
        </is>
      </c>
      <c r="B5" s="5" t="inlineStr">
        <is>
          <t>PW-04</t>
        </is>
      </c>
      <c r="C5" s="5" t="inlineStr">
        <is>
          <t>[PW-04] Weight integrity when the structure changes</t>
        </is>
      </c>
      <c r="D5" s="5" t="inlineStr">
        <is>
          <t>As a Finance/Controller, I want verified weights frozen and structure changes forced back to 100%, so that recognised revenue can never be reopened by editing the structure.
PRD story: 9. Prototype: data/projectActions.ts phaseLockReason(), reconfirmWeights().
Acceptance criteria: see sheet 'Acceptance Criteria' (PW-04-AC1…AC6).</t>
        </is>
      </c>
      <c r="E5" s="5" t="inlineStr">
        <is>
          <t>High</t>
        </is>
      </c>
      <c r="F5" s="5" t="n">
        <v>5</v>
      </c>
      <c r="G5" s="5" t="inlineStr">
        <is>
          <t>Project MTO — Recognition &amp; billing</t>
        </is>
      </c>
      <c r="H5" s="5" t="inlineStr">
        <is>
          <t>project-mto batch-2 prd-story-9</t>
        </is>
      </c>
      <c r="I5" s="5" t="inlineStr">
        <is>
          <t>Structure</t>
        </is>
      </c>
      <c r="J5" s="5" t="inlineStr">
        <is>
          <t>Sprint 2</t>
        </is>
      </c>
    </row>
    <row r="6">
      <c r="A6" s="5" t="inlineStr">
        <is>
          <t>Story</t>
        </is>
      </c>
      <c r="B6" s="5" t="inlineStr">
        <is>
          <t>REC-01</t>
        </is>
      </c>
      <c r="C6" s="5" t="inlineStr">
        <is>
          <t>[REC-01] One recognition method and measure, locked at approval</t>
        </is>
      </c>
      <c r="D6" s="5" t="inlineStr">
        <is>
          <t>As a Finance/Controller, I want each project to carry exactly one recognition method and measure that locks at approval, so that the accounting basis can’t drift after revenue starts moving.
PRD story: 8. Prototype: data/projectActions.ts approveProject(), reopenProject(); ProjectDetailPage.vue header.
Acceptance criteria: see sheet 'Acceptance Criteria' (REC-01-AC1…AC6).</t>
        </is>
      </c>
      <c r="E6" s="5" t="inlineStr">
        <is>
          <t>Highest</t>
        </is>
      </c>
      <c r="F6" s="5" t="n">
        <v>5</v>
      </c>
      <c r="G6" s="5" t="inlineStr">
        <is>
          <t>Project MTO — Recognition &amp; billing</t>
        </is>
      </c>
      <c r="H6" s="5" t="inlineStr">
        <is>
          <t>project-mto batch-2 prd-story-8</t>
        </is>
      </c>
      <c r="I6" s="5" t="inlineStr">
        <is>
          <t>Project</t>
        </is>
      </c>
      <c r="J6" s="5" t="inlineStr">
        <is>
          <t>Sprint 1</t>
        </is>
      </c>
    </row>
    <row r="7">
      <c r="A7" s="5" t="inlineStr">
        <is>
          <t>Story</t>
        </is>
      </c>
      <c r="B7" s="5" t="inlineStr">
        <is>
          <t>REC-02</t>
        </is>
      </c>
      <c r="C7" s="5" t="inlineStr">
        <is>
          <t>[REC-02] Two clocks: recognition and billing ledgers with WIP position</t>
        </is>
      </c>
      <c r="D7" s="5" t="inlineStr">
        <is>
          <t>As a Finance/Controller, I want recognised revenue and billed-to-date kept as separate postings with WIP as the reconciling balance, so that an overbilled or underbilled job is visible, and the down-payment case is representable.
PRD story: 8. Prototype: data/projectRecognition.ts (recognitionPostings, projectInvoices, wipPosition); tabs/RecognitionTab.vue.
Acceptance criteria: see sheet 'Acceptance Criteria' (REC-02-AC1…AC7).</t>
        </is>
      </c>
      <c r="E7" s="5" t="inlineStr">
        <is>
          <t>Highest</t>
        </is>
      </c>
      <c r="F7" s="5" t="n">
        <v>8</v>
      </c>
      <c r="G7" s="5" t="inlineStr">
        <is>
          <t>Project MTO — Recognition &amp; billing</t>
        </is>
      </c>
      <c r="H7" s="5" t="inlineStr">
        <is>
          <t>project-mto batch-2 prd-story-8</t>
        </is>
      </c>
      <c r="I7" s="5" t="inlineStr">
        <is>
          <t>Recognition</t>
        </is>
      </c>
      <c r="J7" s="5" t="inlineStr">
        <is>
          <t>Sprint 2</t>
        </is>
      </c>
    </row>
    <row r="8">
      <c r="A8" s="5" t="inlineStr">
        <is>
          <t>Story</t>
        </is>
      </c>
      <c r="B8" s="5" t="inlineStr">
        <is>
          <t>REC-03</t>
        </is>
      </c>
      <c r="C8" s="5" t="inlineStr">
        <is>
          <t>[REC-03] Verify a phase by BAST — recognition only, no invoice</t>
        </is>
      </c>
      <c r="D8" s="5" t="inlineStr">
        <is>
          <t>As a Project Manager, I want to record the BAST for a phase and have its progress weight recognised, so that revenue follows third-party evidence of progress, independent of the billing schedule.
PRD story: 8, 9. Prototype: data/projectActions.ts verifyPhase(); tabs/RecognitionTab.vue verify modal.
Acceptance criteria: see sheet 'Acceptance Criteria' (REC-03-AC1…AC6).</t>
        </is>
      </c>
      <c r="E8" s="5" t="inlineStr">
        <is>
          <t>Highest</t>
        </is>
      </c>
      <c r="F8" s="5" t="n">
        <v>5</v>
      </c>
      <c r="G8" s="5" t="inlineStr">
        <is>
          <t>Project MTO — Recognition &amp; billing</t>
        </is>
      </c>
      <c r="H8" s="5" t="inlineStr">
        <is>
          <t>project-mto batch-2 prd-story-8-9</t>
        </is>
      </c>
      <c r="I8" s="5" t="inlineStr">
        <is>
          <t>Recognition</t>
        </is>
      </c>
      <c r="J8" s="5" t="inlineStr">
        <is>
          <t>Sprint 2</t>
        </is>
      </c>
    </row>
    <row r="9">
      <c r="A9" s="5" t="inlineStr">
        <is>
          <t>Story</t>
        </is>
      </c>
      <c r="B9" s="5" t="inlineStr">
        <is>
          <t>REC-04</t>
        </is>
      </c>
      <c r="C9" s="5" t="inlineStr">
        <is>
          <t>[REC-04] Output · unit recognition run</t>
        </is>
      </c>
      <c r="D9" s="5" t="inlineStr">
        <is>
          <t>As a Finance/Controller, I want % complete computed from confirmed ÷ planned units and a run that posts the difference, so that unit-measured jobs recognise revenue as units are produced or delivered.
PRD story: 8. Prototype: data/projectRecognition.ts unitProgress(), recognitionDue(); projectActions.ts runRecognition().
Acceptance criteria: see sheet 'Acceptance Criteria' (REC-04-AC1…AC6).</t>
        </is>
      </c>
      <c r="E9" s="5" t="inlineStr">
        <is>
          <t>High</t>
        </is>
      </c>
      <c r="F9" s="5" t="n">
        <v>5</v>
      </c>
      <c r="G9" s="5" t="inlineStr">
        <is>
          <t>Project MTO — Recognition &amp; billing</t>
        </is>
      </c>
      <c r="H9" s="5" t="inlineStr">
        <is>
          <t>project-mto batch-2 prd-story-8</t>
        </is>
      </c>
      <c r="I9" s="5" t="inlineStr">
        <is>
          <t>Recognition</t>
        </is>
      </c>
      <c r="J9" s="5" t="inlineStr">
        <is>
          <t>Sprint 3</t>
        </is>
      </c>
    </row>
    <row r="10">
      <c r="A10" s="5" t="inlineStr">
        <is>
          <t>Story</t>
        </is>
      </c>
      <c r="B10" s="5" t="inlineStr">
        <is>
          <t>REC-05</t>
        </is>
      </c>
      <c r="C10" s="5" t="inlineStr">
        <is>
          <t>[REC-05] Input (cost-to-cost) recognition run</t>
        </is>
      </c>
      <c r="D10" s="5" t="inlineStr">
        <is>
          <t>As a Finance/Controller, I want % complete = actual cost ÷ budget, recalculating live as cost posts, so that cost-to-cost jobs recognise revenue in step with the work actually done.
PRD story: 8. Prototype: data/projectRecognition.ts percentComplete() input branch.
Acceptance criteria: see sheet 'Acceptance Criteria' (REC-05-AC1…AC6).</t>
        </is>
      </c>
      <c r="E10" s="5" t="inlineStr">
        <is>
          <t>High</t>
        </is>
      </c>
      <c r="F10" s="5" t="n">
        <v>5</v>
      </c>
      <c r="G10" s="5" t="inlineStr">
        <is>
          <t>Project MTO — Recognition &amp; billing</t>
        </is>
      </c>
      <c r="H10" s="5" t="inlineStr">
        <is>
          <t>project-mto batch-2 prd-story-8</t>
        </is>
      </c>
      <c r="I10" s="5" t="inlineStr">
        <is>
          <t>Recognition</t>
        </is>
      </c>
      <c r="J10" s="5" t="inlineStr">
        <is>
          <t>Sprint 3</t>
        </is>
      </c>
    </row>
    <row r="11">
      <c r="A11" s="5" t="inlineStr">
        <is>
          <t>Story</t>
        </is>
      </c>
      <c r="B11" s="5" t="inlineStr">
        <is>
          <t>REC-06</t>
        </is>
      </c>
      <c r="C11" s="5" t="inlineStr">
        <is>
          <t>[REC-06] T&amp;M: bill / write-down / write-up decision per entry</t>
        </is>
      </c>
      <c r="D11" s="5" t="inlineStr">
        <is>
          <t>As a Finance/Controller, I want every unbilled time entry to carry a bill, write-down or write-up decision before invoicing, so that what reaches the customer is a deliberate decision, not a raw timesheet dump.
PRD story: 8. Prototype: tabs/RecognitionTab.vue T&amp;M table; projectActions.ts setTmDecision().
Acceptance criteria: see sheet 'Acceptance Criteria' (REC-06-AC1…AC5).</t>
        </is>
      </c>
      <c r="E11" s="5" t="inlineStr">
        <is>
          <t>High</t>
        </is>
      </c>
      <c r="F11" s="5" t="n">
        <v>5</v>
      </c>
      <c r="G11" s="5" t="inlineStr">
        <is>
          <t>Project MTO — Recognition &amp; billing</t>
        </is>
      </c>
      <c r="H11" s="5" t="inlineStr">
        <is>
          <t>project-mto batch-2 prd-story-8</t>
        </is>
      </c>
      <c r="I11" s="5" t="inlineStr">
        <is>
          <t>Recognition</t>
        </is>
      </c>
      <c r="J11" s="5" t="inlineStr">
        <is>
          <t>Sprint 4</t>
        </is>
      </c>
    </row>
    <row r="12">
      <c r="A12" s="5" t="inlineStr">
        <is>
          <t>Story</t>
        </is>
      </c>
      <c r="B12" s="5" t="inlineStr">
        <is>
          <t>REC-07</t>
        </is>
      </c>
      <c r="C12" s="5" t="inlineStr">
        <is>
          <t>[REC-07] T&amp;M: invoice decided entries (billing + recognition as two postings)</t>
        </is>
      </c>
      <c r="D12" s="5" t="inlineStr">
        <is>
          <t>As a Finance/Controller, I want to invoice all decided entries in one action that still creates two separate postings, so that T&amp;M billing is fast while the two-clock model stays intact.
PRD story: 8. Prototype: projectActions.ts invoiceTm().
Acceptance criteria: see sheet 'Acceptance Criteria' (REC-07-AC1…AC4).</t>
        </is>
      </c>
      <c r="E12" s="5" t="inlineStr">
        <is>
          <t>High</t>
        </is>
      </c>
      <c r="F12" s="5" t="n">
        <v>3</v>
      </c>
      <c r="G12" s="5" t="inlineStr">
        <is>
          <t>Project MTO — Recognition &amp; billing</t>
        </is>
      </c>
      <c r="H12" s="5" t="inlineStr">
        <is>
          <t>project-mto batch-2 prd-story-8</t>
        </is>
      </c>
      <c r="I12" s="5" t="inlineStr">
        <is>
          <t>Recognition</t>
        </is>
      </c>
      <c r="J12" s="5" t="inlineStr">
        <is>
          <t>Sprint 4</t>
        </is>
      </c>
    </row>
    <row r="13">
      <c r="A13" s="5" t="inlineStr">
        <is>
          <t>Story</t>
        </is>
      </c>
      <c r="B13" s="5" t="inlineStr">
        <is>
          <t>REC-08</t>
        </is>
      </c>
      <c r="C13" s="5" t="inlineStr">
        <is>
          <t>[REC-08] Contract billing terms and term invoices (billing only)</t>
        </is>
      </c>
      <c r="D13" s="5" t="inlineStr">
        <is>
          <t>As a Finance/Controller, I want to issue invoices from the contract’s own terms, separately from recognition, so that down payments and progress terms bill on the contract’s clock without distorting recognised revenue.
PRD story: 8, 9. Prototype: data/projectRecognition.ts billingTerms; projectActions.ts issueTermInvoice().
Acceptance criteria: see sheet 'Acceptance Criteria' (REC-08-AC1…AC7).</t>
        </is>
      </c>
      <c r="E13" s="5" t="inlineStr">
        <is>
          <t>Highest</t>
        </is>
      </c>
      <c r="F13" s="5" t="n">
        <v>8</v>
      </c>
      <c r="G13" s="5" t="inlineStr">
        <is>
          <t>Project MTO — Recognition &amp; billing</t>
        </is>
      </c>
      <c r="H13" s="5" t="inlineStr">
        <is>
          <t>project-mto batch-2 prd-story-8-9</t>
        </is>
      </c>
      <c r="I13" s="5" t="inlineStr">
        <is>
          <t>Billing</t>
        </is>
      </c>
      <c r="J13" s="5" t="inlineStr">
        <is>
          <t>Sprint 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3" customWidth="1" min="3" max="3"/>
    <col width="100" customWidth="1" min="4" max="4"/>
    <col width="16" customWidth="1" min="5" max="5"/>
  </cols>
  <sheetData>
    <row r="1">
      <c r="A1" s="4" t="inlineStr">
        <is>
          <t>Criterion ID</t>
        </is>
      </c>
      <c r="B1" s="4" t="inlineStr">
        <is>
          <t>Story</t>
        </is>
      </c>
      <c r="C1" s="4" t="inlineStr">
        <is>
          <t>Type</t>
        </is>
      </c>
      <c r="D1" s="4" t="inlineStr">
        <is>
          <t>Given / When / Then</t>
        </is>
      </c>
      <c r="E1" s="4" t="inlineStr">
        <is>
          <t>Test case status</t>
        </is>
      </c>
    </row>
    <row r="2">
      <c r="A2" s="5" t="inlineStr">
        <is>
          <t>PW-01-AC1</t>
        </is>
      </c>
      <c r="B2" s="5" t="inlineStr">
        <is>
          <t>PW-01</t>
        </is>
      </c>
      <c r="C2" s="5" t="inlineStr">
        <is>
          <t>Happy path</t>
        </is>
      </c>
      <c r="D2" s="5" t="inlineStr">
        <is>
          <t>Given an Output · milestone project at depth 3, When I open the Structure tab, Then every phase row shows a Progress weight input with a % suffix.</t>
        </is>
      </c>
      <c r="E2" s="5" t="inlineStr">
        <is>
          <t>Not written</t>
        </is>
      </c>
    </row>
    <row r="3">
      <c r="A3" s="5" t="inlineStr">
        <is>
          <t>PW-01-AC2</t>
        </is>
      </c>
      <c r="B3" s="5" t="inlineStr">
        <is>
          <t>PW-01</t>
        </is>
      </c>
      <c r="C3" s="5" t="inlineStr">
        <is>
          <t>Happy path</t>
        </is>
      </c>
      <c r="D3" s="5" t="inlineStr">
        <is>
          <t>Given the add or edit phase drawer on an Output · milestone project, Then a Progress weight field is shown and saving stores it on the phase.</t>
        </is>
      </c>
      <c r="E3" s="5" t="inlineStr">
        <is>
          <t>Not written</t>
        </is>
      </c>
    </row>
    <row r="4">
      <c r="A4" s="5" t="inlineStr">
        <is>
          <t>PW-01-AC3</t>
        </is>
      </c>
      <c r="B4" s="5" t="inlineStr">
        <is>
          <t>PW-01</t>
        </is>
      </c>
      <c r="C4" s="5" t="inlineStr">
        <is>
          <t>Happy path</t>
        </is>
      </c>
      <c r="D4" s="5" t="inlineStr">
        <is>
          <t>Given I type a weight inline and leave the field or press Enter, Then the weight saves and the total summary (PW-02) updates without a page reload.</t>
        </is>
      </c>
      <c r="E4" s="5" t="inlineStr">
        <is>
          <t>Not written</t>
        </is>
      </c>
    </row>
    <row r="5">
      <c r="A5" s="5" t="inlineStr">
        <is>
          <t>PW-01-AC4</t>
        </is>
      </c>
      <c r="B5" s="5" t="inlineStr">
        <is>
          <t>PW-01</t>
        </is>
      </c>
      <c r="C5" s="5" t="inlineStr">
        <is>
          <t>Edge</t>
        </is>
      </c>
      <c r="D5" s="5" t="inlineStr">
        <is>
          <t>Given a depth-1 project (auto phase), Then no weight input is shown anywhere.</t>
        </is>
      </c>
      <c r="E5" s="5" t="inlineStr">
        <is>
          <t>Not written</t>
        </is>
      </c>
    </row>
    <row r="6">
      <c r="A6" s="5" t="inlineStr">
        <is>
          <t>PW-01-AC5</t>
        </is>
      </c>
      <c r="B6" s="5" t="inlineStr">
        <is>
          <t>PW-01</t>
        </is>
      </c>
      <c r="C6" s="5" t="inlineStr">
        <is>
          <t>Edge</t>
        </is>
      </c>
      <c r="D6" s="5" t="inlineStr">
        <is>
          <t>Given a T&amp;M, Input or Output · unit project, Then no weight input is shown.</t>
        </is>
      </c>
      <c r="E6" s="5" t="inlineStr">
        <is>
          <t>Not written</t>
        </is>
      </c>
    </row>
    <row r="7">
      <c r="A7" s="5" t="inlineStr">
        <is>
          <t>PW-01-AC6</t>
        </is>
      </c>
      <c r="B7" s="5" t="inlineStr">
        <is>
          <t>PW-01</t>
        </is>
      </c>
      <c r="C7" s="5" t="inlineStr">
        <is>
          <t>Audit</t>
        </is>
      </c>
      <c r="D7" s="5" t="inlineStr">
        <is>
          <t>Given a weight change, Then an audit entry records phase, old and new weight, actor and time.</t>
        </is>
      </c>
      <c r="E7" s="5" t="inlineStr">
        <is>
          <t>Not written</t>
        </is>
      </c>
    </row>
    <row r="8">
      <c r="A8" s="5" t="inlineStr">
        <is>
          <t>PW-01-AC7</t>
        </is>
      </c>
      <c r="B8" s="5" t="inlineStr">
        <is>
          <t>PW-01</t>
        </is>
      </c>
      <c r="C8" s="5" t="inlineStr">
        <is>
          <t>Edge</t>
        </is>
      </c>
      <c r="D8" s="5" t="inlineStr">
        <is>
          <t>Given a verified phase, Then its weight is shown read-only with a Verified badge (enforced in PW-04).</t>
        </is>
      </c>
      <c r="E8" s="5" t="inlineStr">
        <is>
          <t>Not written</t>
        </is>
      </c>
    </row>
    <row r="9">
      <c r="A9" s="5" t="inlineStr">
        <is>
          <t>PW-02-AC1</t>
        </is>
      </c>
      <c r="B9" s="5" t="inlineStr">
        <is>
          <t>PW-02</t>
        </is>
      </c>
      <c r="C9" s="5" t="inlineStr">
        <is>
          <t>Happy path</t>
        </is>
      </c>
      <c r="D9" s="5" t="inlineStr">
        <is>
          <t>Given weights that total 100%, Then a green summary reads “Progress weight total: 100%”.</t>
        </is>
      </c>
      <c r="E9" s="5" t="inlineStr">
        <is>
          <t>Not written</t>
        </is>
      </c>
    </row>
    <row r="10">
      <c r="A10" s="5" t="inlineStr">
        <is>
          <t>PW-02-AC2</t>
        </is>
      </c>
      <c r="B10" s="5" t="inlineStr">
        <is>
          <t>PW-02</t>
        </is>
      </c>
      <c r="C10" s="5" t="inlineStr">
        <is>
          <t>Happy path</t>
        </is>
      </c>
      <c r="D10" s="5" t="inlineStr">
        <is>
          <t>Given weights that don’t total 100%, Then a red summary states the total and the difference (“Short by 5%” / “Over by 2,5%”).</t>
        </is>
      </c>
      <c r="E10" s="5" t="inlineStr">
        <is>
          <t>Not written</t>
        </is>
      </c>
    </row>
    <row r="11">
      <c r="A11" s="5" t="inlineStr">
        <is>
          <t>PW-02-AC3</t>
        </is>
      </c>
      <c r="B11" s="5" t="inlineStr">
        <is>
          <t>PW-02</t>
        </is>
      </c>
      <c r="C11" s="5" t="inlineStr">
        <is>
          <t>Gate</t>
        </is>
      </c>
      <c r="D11" s="5" t="inlineStr">
        <is>
          <t>Given the total is not 100%, When I try to verify a phase (REC-03), Then verification is blocked and the reason names the current total.</t>
        </is>
      </c>
      <c r="E11" s="5" t="inlineStr">
        <is>
          <t>Not written</t>
        </is>
      </c>
    </row>
    <row r="12">
      <c r="A12" s="5" t="inlineStr">
        <is>
          <t>PW-02-AC4</t>
        </is>
      </c>
      <c r="B12" s="5" t="inlineStr">
        <is>
          <t>PW-02</t>
        </is>
      </c>
      <c r="C12" s="5" t="inlineStr">
        <is>
          <t>Gate</t>
        </is>
      </c>
      <c r="D12" s="5" t="inlineStr">
        <is>
          <t>Given a Draft Output · milestone project whose total is not 100%, When Finance tries to approve it, Then approval is refused with the same reason.</t>
        </is>
      </c>
      <c r="E12" s="5" t="inlineStr">
        <is>
          <t>Not written</t>
        </is>
      </c>
    </row>
    <row r="13">
      <c r="A13" s="5" t="inlineStr">
        <is>
          <t>PW-02-AC5</t>
        </is>
      </c>
      <c r="B13" s="5" t="inlineStr">
        <is>
          <t>PW-02</t>
        </is>
      </c>
      <c r="C13" s="5" t="inlineStr">
        <is>
          <t>Edge</t>
        </is>
      </c>
      <c r="D13" s="5" t="inlineStr">
        <is>
          <t>Given a depth-1 Output · milestone project, Then the summary says the project needs phases instead of showing a total.</t>
        </is>
      </c>
      <c r="E13" s="5" t="inlineStr">
        <is>
          <t>Not written</t>
        </is>
      </c>
    </row>
    <row r="14">
      <c r="A14" s="5" t="inlineStr">
        <is>
          <t>PW-02-AC6</t>
        </is>
      </c>
      <c r="B14" s="5" t="inlineStr">
        <is>
          <t>PW-02</t>
        </is>
      </c>
      <c r="C14" s="5" t="inlineStr">
        <is>
          <t>Consistency</t>
        </is>
      </c>
      <c r="D14" s="5" t="inlineStr">
        <is>
          <t>Given the Recognition tab, Then the same total and block reason appear above the phase list, with a link to the Structure tab.</t>
        </is>
      </c>
      <c r="E14" s="5" t="inlineStr">
        <is>
          <t>Not written</t>
        </is>
      </c>
    </row>
    <row r="15">
      <c r="A15" s="5" t="inlineStr">
        <is>
          <t>PW-03-AC1</t>
        </is>
      </c>
      <c r="B15" s="5" t="inlineStr">
        <is>
          <t>PW-03</t>
        </is>
      </c>
      <c r="C15" s="5" t="inlineStr">
        <is>
          <t>Happy path</t>
        </is>
      </c>
      <c r="D15" s="5" t="inlineStr">
        <is>
          <t>Given phases with an RAB value, Then each unverified phase shows “Suggested x%” = phase RAB ÷ total RAB, rounded to 0,1%.</t>
        </is>
      </c>
      <c r="E15" s="5" t="inlineStr">
        <is>
          <t>Not written</t>
        </is>
      </c>
    </row>
    <row r="16">
      <c r="A16" s="5" t="inlineStr">
        <is>
          <t>PW-03-AC2</t>
        </is>
      </c>
      <c r="B16" s="5" t="inlineStr">
        <is>
          <t>PW-03</t>
        </is>
      </c>
      <c r="C16" s="5" t="inlineStr">
        <is>
          <t>Happy path</t>
        </is>
      </c>
      <c r="D16" s="5" t="inlineStr">
        <is>
          <t>Given I choose Suggest from RAB, Then suggestions are written into unverified phases only, an audit entry is written, and a toast asks me to review.</t>
        </is>
      </c>
      <c r="E16" s="5" t="inlineStr">
        <is>
          <t>Not written</t>
        </is>
      </c>
    </row>
    <row r="17">
      <c r="A17" s="5" t="inlineStr">
        <is>
          <t>PW-03-AC3</t>
        </is>
      </c>
      <c r="B17" s="5" t="inlineStr">
        <is>
          <t>PW-03</t>
        </is>
      </c>
      <c r="C17" s="5" t="inlineStr">
        <is>
          <t>Happy path</t>
        </is>
      </c>
      <c r="D17" s="5" t="inlineStr">
        <is>
          <t>Given the phase drawer, When I enter the phase RAB value, Then the suggestion appears beside the weight field with a Use suggestion action.</t>
        </is>
      </c>
      <c r="E17" s="5" t="inlineStr">
        <is>
          <t>Not written</t>
        </is>
      </c>
    </row>
    <row r="18">
      <c r="A18" s="5" t="inlineStr">
        <is>
          <t>PW-03-AC4</t>
        </is>
      </c>
      <c r="B18" s="5" t="inlineStr">
        <is>
          <t>PW-03</t>
        </is>
      </c>
      <c r="C18" s="5" t="inlineStr">
        <is>
          <t>Rule</t>
        </is>
      </c>
      <c r="D18" s="5" t="inlineStr">
        <is>
          <t>Given a suggestion, Then it is never applied without my action.</t>
        </is>
      </c>
      <c r="E18" s="5" t="inlineStr">
        <is>
          <t>Not written</t>
        </is>
      </c>
    </row>
    <row r="19">
      <c r="A19" s="5" t="inlineStr">
        <is>
          <t>PW-03-AC5</t>
        </is>
      </c>
      <c r="B19" s="5" t="inlineStr">
        <is>
          <t>PW-03</t>
        </is>
      </c>
      <c r="C19" s="5" t="inlineStr">
        <is>
          <t>Data check</t>
        </is>
      </c>
      <c r="D19" s="5" t="inlineStr">
        <is>
          <t>Given the IPB seed (RAB Rp835.227.502), Then suggestions read 2,0 / 15,0 / 50,8 / 24,0 / 8,2%.</t>
        </is>
      </c>
      <c r="E19" s="5" t="inlineStr">
        <is>
          <t>Not written</t>
        </is>
      </c>
    </row>
    <row r="20">
      <c r="A20" s="5" t="inlineStr">
        <is>
          <t>PW-03-AC6</t>
        </is>
      </c>
      <c r="B20" s="5" t="inlineStr">
        <is>
          <t>PW-03</t>
        </is>
      </c>
      <c r="C20" s="5" t="inlineStr">
        <is>
          <t>Edge</t>
        </is>
      </c>
      <c r="D20" s="5" t="inlineStr">
        <is>
          <t>Given no phase has an RAB value, Then Suggest from RAB is disabled with the reason shown.</t>
        </is>
      </c>
      <c r="E20" s="5" t="inlineStr">
        <is>
          <t>Not written</t>
        </is>
      </c>
    </row>
    <row r="21">
      <c r="A21" s="5" t="inlineStr">
        <is>
          <t>PW-04-AC1</t>
        </is>
      </c>
      <c r="B21" s="5" t="inlineStr">
        <is>
          <t>PW-04</t>
        </is>
      </c>
      <c r="C21" s="5" t="inlineStr">
        <is>
          <t>Gate</t>
        </is>
      </c>
      <c r="D21" s="5" t="inlineStr">
        <is>
          <t>Given a verified phase, Then edit weight, edit phase and delete phase are refused, and the Options menu states why.</t>
        </is>
      </c>
      <c r="E21" s="5" t="inlineStr">
        <is>
          <t>Not written</t>
        </is>
      </c>
    </row>
    <row r="22">
      <c r="A22" s="5" t="inlineStr">
        <is>
          <t>PW-04-AC2</t>
        </is>
      </c>
      <c r="B22" s="5" t="inlineStr">
        <is>
          <t>PW-04</t>
        </is>
      </c>
      <c r="C22" s="5" t="inlineStr">
        <is>
          <t>Happy path</t>
        </is>
      </c>
      <c r="D22" s="5" t="inlineStr">
        <is>
          <t>Given I delete an unverified phase that carries a weight, Then the confirm dialog warns that the remaining phases must be reweighted to 100%, and after deleting the summary turns red.</t>
        </is>
      </c>
      <c r="E22" s="5" t="inlineStr">
        <is>
          <t>Not written</t>
        </is>
      </c>
    </row>
    <row r="23">
      <c r="A23" s="5" t="inlineStr">
        <is>
          <t>PW-04-AC3</t>
        </is>
      </c>
      <c r="B23" s="5" t="inlineStr">
        <is>
          <t>PW-04</t>
        </is>
      </c>
      <c r="C23" s="5" t="inlineStr">
        <is>
          <t>Happy path</t>
        </is>
      </c>
      <c r="D23" s="5" t="inlineStr">
        <is>
          <t>Given I add a phase to an Output · milestone project, Then its weight starts empty and the summary shows the new difference.</t>
        </is>
      </c>
      <c r="E23" s="5" t="inlineStr">
        <is>
          <t>Not written</t>
        </is>
      </c>
    </row>
    <row r="24">
      <c r="A24" s="5" t="inlineStr">
        <is>
          <t>PW-04-AC4</t>
        </is>
      </c>
      <c r="B24" s="5" t="inlineStr">
        <is>
          <t>PW-04</t>
        </is>
      </c>
      <c r="C24" s="5" t="inlineStr">
        <is>
          <t>Edge</t>
        </is>
      </c>
      <c r="D24" s="5" t="inlineStr">
        <is>
          <t>Given the last phase is deleted, Then the project returns to an auto node and the milestone-needs-phases message appears (PW-02).</t>
        </is>
      </c>
      <c r="E24" s="5" t="inlineStr">
        <is>
          <t>Not written</t>
        </is>
      </c>
    </row>
    <row r="25">
      <c r="A25" s="5" t="inlineStr">
        <is>
          <t>PW-04-AC5</t>
        </is>
      </c>
      <c r="B25" s="5" t="inlineStr">
        <is>
          <t>PW-04</t>
        </is>
      </c>
      <c r="C25" s="5" t="inlineStr">
        <is>
          <t>Integration</t>
        </is>
      </c>
      <c r="D25" s="5" t="inlineStr">
        <is>
          <t>Given an approved change order changed the contract value (Story 12 hook), Then a Reconfirm progress weights banner appears and verification is blocked until the PM reconfirms at 100%.</t>
        </is>
      </c>
      <c r="E25" s="5" t="inlineStr">
        <is>
          <t>Not written</t>
        </is>
      </c>
    </row>
    <row r="26">
      <c r="A26" s="5" t="inlineStr">
        <is>
          <t>PW-04-AC6</t>
        </is>
      </c>
      <c r="B26" s="5" t="inlineStr">
        <is>
          <t>PW-04</t>
        </is>
      </c>
      <c r="C26" s="5" t="inlineStr">
        <is>
          <t>Audit</t>
        </is>
      </c>
      <c r="D26" s="5" t="inlineStr">
        <is>
          <t>Given any of the above, Then an audit entry is written.</t>
        </is>
      </c>
      <c r="E26" s="5" t="inlineStr">
        <is>
          <t>Not written</t>
        </is>
      </c>
    </row>
    <row r="27">
      <c r="A27" s="5" t="inlineStr">
        <is>
          <t>REC-01-AC1</t>
        </is>
      </c>
      <c r="B27" s="5" t="inlineStr">
        <is>
          <t>REC-01</t>
        </is>
      </c>
      <c r="C27" s="5" t="inlineStr">
        <is>
          <t>Happy path</t>
        </is>
      </c>
      <c r="D27" s="5" t="inlineStr">
        <is>
          <t>Given the create flow, Then I choose one method (T&amp;M, Input, Output) and, for Output, one measure (milestone or unit).</t>
        </is>
      </c>
      <c r="E27" s="5" t="inlineStr">
        <is>
          <t>Not written</t>
        </is>
      </c>
    </row>
    <row r="28">
      <c r="A28" s="5" t="inlineStr">
        <is>
          <t>REC-01-AC2</t>
        </is>
      </c>
      <c r="B28" s="5" t="inlineStr">
        <is>
          <t>REC-01</t>
        </is>
      </c>
      <c r="C28" s="5" t="inlineStr">
        <is>
          <t>Happy path</t>
        </is>
      </c>
      <c r="D28" s="5" t="inlineStr">
        <is>
          <t>Given a Draft project, Then the method and measure can still change; the header pill reads “Locks at approval”.</t>
        </is>
      </c>
      <c r="E28" s="5" t="inlineStr">
        <is>
          <t>Not written</t>
        </is>
      </c>
    </row>
    <row r="29">
      <c r="A29" s="5" t="inlineStr">
        <is>
          <t>REC-01-AC3</t>
        </is>
      </c>
      <c r="B29" s="5" t="inlineStr">
        <is>
          <t>REC-01</t>
        </is>
      </c>
      <c r="C29" s="5" t="inlineStr">
        <is>
          <t>Gate</t>
        </is>
      </c>
      <c r="D29" s="5" t="inlineStr">
        <is>
          <t>Given Finance approves the project (OQ7: Finance only, never the project’s own PM), Then method, measure and production flag lock and the pill shows a lock icon.</t>
        </is>
      </c>
      <c r="E29" s="5" t="inlineStr">
        <is>
          <t>Not written</t>
        </is>
      </c>
    </row>
    <row r="30">
      <c r="A30" s="5" t="inlineStr">
        <is>
          <t>REC-01-AC4</t>
        </is>
      </c>
      <c r="B30" s="5" t="inlineStr">
        <is>
          <t>REC-01</t>
        </is>
      </c>
      <c r="C30" s="5" t="inlineStr">
        <is>
          <t>Happy path</t>
        </is>
      </c>
      <c r="D30" s="5" t="inlineStr">
        <is>
          <t>Given a locked project, When the method must change, Then Re-open approval requires a reason, returns the project to Draft and writes an audit entry.</t>
        </is>
      </c>
      <c r="E30" s="5" t="inlineStr">
        <is>
          <t>Not written</t>
        </is>
      </c>
    </row>
    <row r="31">
      <c r="A31" s="5" t="inlineStr">
        <is>
          <t>REC-01-AC5</t>
        </is>
      </c>
      <c r="B31" s="5" t="inlineStr">
        <is>
          <t>REC-01</t>
        </is>
      </c>
      <c r="C31" s="5" t="inlineStr">
        <is>
          <t>Gate</t>
        </is>
      </c>
      <c r="D31" s="5" t="inlineStr">
        <is>
          <t>Given revenue has been recognised, Then Re-open approval is refused.</t>
        </is>
      </c>
      <c r="E31" s="5" t="inlineStr">
        <is>
          <t>Not written</t>
        </is>
      </c>
    </row>
    <row r="32">
      <c r="A32" s="5" t="inlineStr">
        <is>
          <t>REC-01-AC6</t>
        </is>
      </c>
      <c r="B32" s="5" t="inlineStr">
        <is>
          <t>REC-01</t>
        </is>
      </c>
      <c r="C32" s="5" t="inlineStr">
        <is>
          <t>Rule</t>
        </is>
      </c>
      <c r="D32" s="5" t="inlineStr">
        <is>
          <t>Given any screen, Then no UI allows mixing methods or measures within one project.</t>
        </is>
      </c>
      <c r="E32" s="5" t="inlineStr">
        <is>
          <t>Not written</t>
        </is>
      </c>
    </row>
    <row r="33">
      <c r="A33" s="5" t="inlineStr">
        <is>
          <t>REC-02-AC1</t>
        </is>
      </c>
      <c r="B33" s="5" t="inlineStr">
        <is>
          <t>REC-02</t>
        </is>
      </c>
      <c r="C33" s="5" t="inlineStr">
        <is>
          <t>Happy path</t>
        </is>
      </c>
      <c r="D33" s="5" t="inlineStr">
        <is>
          <t>Given any project, Then the Recognition &amp; billing tab shows three cards: Recognised to date, Billed to date and WIP position.</t>
        </is>
      </c>
      <c r="E33" s="5" t="inlineStr">
        <is>
          <t>Not written</t>
        </is>
      </c>
    </row>
    <row r="34">
      <c r="A34" s="5" t="inlineStr">
        <is>
          <t>REC-02-AC2</t>
        </is>
      </c>
      <c r="B34" s="5" t="inlineStr">
        <is>
          <t>REC-02</t>
        </is>
      </c>
      <c r="C34" s="5" t="inlineStr">
        <is>
          <t>Happy path</t>
        </is>
      </c>
      <c r="D34" s="5" t="inlineStr">
        <is>
          <t>Given recognised &gt; billed, Then WIP shows the difference as “Underbilled — contract asset”; given billed &gt; recognised, “Overbilled — contract liability”.</t>
        </is>
      </c>
      <c r="E34" s="5" t="inlineStr">
        <is>
          <t>Not written</t>
        </is>
      </c>
    </row>
    <row r="35">
      <c r="A35" s="5" t="inlineStr">
        <is>
          <t>REC-02-AC3</t>
        </is>
      </c>
      <c r="B35" s="5" t="inlineStr">
        <is>
          <t>REC-02</t>
        </is>
      </c>
      <c r="C35" s="5" t="inlineStr">
        <is>
          <t>Data check</t>
        </is>
      </c>
      <c r="D35" s="5" t="inlineStr">
        <is>
          <t>Given the IPB seed (DP 30% invoiced, 17% recognised), Then WIP reads Rp108.579.576 overbilled.</t>
        </is>
      </c>
      <c r="E35" s="5" t="inlineStr">
        <is>
          <t>Not written</t>
        </is>
      </c>
    </row>
    <row r="36">
      <c r="A36" s="5" t="inlineStr">
        <is>
          <t>REC-02-AC4</t>
        </is>
      </c>
      <c r="B36" s="5" t="inlineStr">
        <is>
          <t>REC-02</t>
        </is>
      </c>
      <c r="C36" s="5" t="inlineStr">
        <is>
          <t>Happy path</t>
        </is>
      </c>
      <c r="D36" s="5" t="inlineStr">
        <is>
          <t>Given the tab, Then Recognition postings and Invoices are listed separately, each with number, date, description and amount; a catch-up posting is tagged.</t>
        </is>
      </c>
      <c r="E36" s="5" t="inlineStr">
        <is>
          <t>Not written</t>
        </is>
      </c>
    </row>
    <row r="37">
      <c r="A37" s="5" t="inlineStr">
        <is>
          <t>REC-02-AC5</t>
        </is>
      </c>
      <c r="B37" s="5" t="inlineStr">
        <is>
          <t>REC-02</t>
        </is>
      </c>
      <c r="C37" s="5" t="inlineStr">
        <is>
          <t>Consistency</t>
        </is>
      </c>
      <c r="D37" s="5" t="inlineStr">
        <is>
          <t>Given the portfolio and the project header, Then the same WIP figure is shown.</t>
        </is>
      </c>
      <c r="E37" s="5" t="inlineStr">
        <is>
          <t>Not written</t>
        </is>
      </c>
    </row>
    <row r="38">
      <c r="A38" s="5" t="inlineStr">
        <is>
          <t>REC-02-AC6</t>
        </is>
      </c>
      <c r="B38" s="5" t="inlineStr">
        <is>
          <t>REC-02</t>
        </is>
      </c>
      <c r="C38" s="5" t="inlineStr">
        <is>
          <t>Integration</t>
        </is>
      </c>
      <c r="D38" s="5" t="inlineStr">
        <is>
          <t>Given every recognition or billing posting, Then its GL entry follows the posting spec (G1) and it writes an audit entry.</t>
        </is>
      </c>
      <c r="E38" s="5" t="inlineStr">
        <is>
          <t>Not written</t>
        </is>
      </c>
    </row>
    <row r="39">
      <c r="A39" s="5" t="inlineStr">
        <is>
          <t>REC-02-AC7</t>
        </is>
      </c>
      <c r="B39" s="5" t="inlineStr">
        <is>
          <t>REC-02</t>
        </is>
      </c>
      <c r="C39" s="5" t="inlineStr">
        <is>
          <t>Edge</t>
        </is>
      </c>
      <c r="D39" s="5" t="inlineStr">
        <is>
          <t>Given an invoice, When Finance records payment, Then its status becomes Paid; WIP is unaffected.</t>
        </is>
      </c>
      <c r="E39" s="5" t="inlineStr">
        <is>
          <t>Not written</t>
        </is>
      </c>
    </row>
    <row r="40">
      <c r="A40" s="5" t="inlineStr">
        <is>
          <t>REC-03-AC1</t>
        </is>
      </c>
      <c r="B40" s="5" t="inlineStr">
        <is>
          <t>REC-03</t>
        </is>
      </c>
      <c r="C40" s="5" t="inlineStr">
        <is>
          <t>Happy path</t>
        </is>
      </c>
      <c r="D40" s="5" t="inlineStr">
        <is>
          <t>Given an Active Output · milestone project with weights at 100%, When I verify a phase with a BAST number, Then one recognition posting is created and no invoice is created.</t>
        </is>
      </c>
      <c r="E40" s="5" t="inlineStr">
        <is>
          <t>Not written</t>
        </is>
      </c>
    </row>
    <row r="41">
      <c r="A41" s="5" t="inlineStr">
        <is>
          <t>REC-03-AC2</t>
        </is>
      </c>
      <c r="B41" s="5" t="inlineStr">
        <is>
          <t>REC-03</t>
        </is>
      </c>
      <c r="C41" s="5" t="inlineStr">
        <is>
          <t>Rule</t>
        </is>
      </c>
      <c r="D41" s="5" t="inlineStr">
        <is>
          <t>Given the posting, Then amount = round(cumulative verified weight × contract value) − recognised to date (cumulative method, no rounding drift).</t>
        </is>
      </c>
      <c r="E41" s="5" t="inlineStr">
        <is>
          <t>Not written</t>
        </is>
      </c>
    </row>
    <row r="42">
      <c r="A42" s="5" t="inlineStr">
        <is>
          <t>REC-03-AC3</t>
        </is>
      </c>
      <c r="B42" s="5" t="inlineStr">
        <is>
          <t>REC-03</t>
        </is>
      </c>
      <c r="C42" s="5" t="inlineStr">
        <is>
          <t>Data check</t>
        </is>
      </c>
      <c r="D42" s="5" t="inlineStr">
        <is>
          <t>Given IPB verifying Interior (50,8%), Then Rp424.295.571 is recognised, invoices stay unchanged, and WIP moves to Rp315.715.995 underbilled.</t>
        </is>
      </c>
      <c r="E42" s="5" t="inlineStr">
        <is>
          <t>Not written</t>
        </is>
      </c>
    </row>
    <row r="43">
      <c r="A43" s="5" t="inlineStr">
        <is>
          <t>REC-03-AC4</t>
        </is>
      </c>
      <c r="B43" s="5" t="inlineStr">
        <is>
          <t>REC-03</t>
        </is>
      </c>
      <c r="C43" s="5" t="inlineStr">
        <is>
          <t>Happy path</t>
        </is>
      </c>
      <c r="D43" s="5" t="inlineStr">
        <is>
          <t>Given the confirm dialog, Then it shows the revenue to be recognised and “Invoice issued: none — billing follows the contract terms”.</t>
        </is>
      </c>
      <c r="E43" s="5" t="inlineStr">
        <is>
          <t>Not written</t>
        </is>
      </c>
    </row>
    <row r="44">
      <c r="A44" s="5" t="inlineStr">
        <is>
          <t>REC-03-AC5</t>
        </is>
      </c>
      <c r="B44" s="5" t="inlineStr">
        <is>
          <t>REC-03</t>
        </is>
      </c>
      <c r="C44" s="5" t="inlineStr">
        <is>
          <t>Gate</t>
        </is>
      </c>
      <c r="D44" s="5" t="inlineStr">
        <is>
          <t>Given weights ≠ 100%, the reweight flag, or a non-Active project, Then Verify is disabled with the reason (PW-02, PW-04).</t>
        </is>
      </c>
      <c r="E44" s="5" t="inlineStr">
        <is>
          <t>Not written</t>
        </is>
      </c>
    </row>
    <row r="45">
      <c r="A45" s="5" t="inlineStr">
        <is>
          <t>REC-03-AC6</t>
        </is>
      </c>
      <c r="B45" s="5" t="inlineStr">
        <is>
          <t>REC-03</t>
        </is>
      </c>
      <c r="C45" s="5" t="inlineStr">
        <is>
          <t>Audit</t>
        </is>
      </c>
      <c r="D45" s="5" t="inlineStr">
        <is>
          <t>Given verification, Then the phase shows Verified with BAST number and date, and two audit entries are written (BAST, recognition).</t>
        </is>
      </c>
      <c r="E45" s="5" t="inlineStr">
        <is>
          <t>Not written</t>
        </is>
      </c>
    </row>
    <row r="46">
      <c r="A46" s="5" t="inlineStr">
        <is>
          <t>REC-04-AC1</t>
        </is>
      </c>
      <c r="B46" s="5" t="inlineStr">
        <is>
          <t>REC-04</t>
        </is>
      </c>
      <c r="C46" s="5" t="inlineStr">
        <is>
          <t>Happy path</t>
        </is>
      </c>
      <c r="D46" s="5" t="inlineStr">
        <is>
          <t>Given an Output · unit project, Then the tab lists work packages with planned units, confirmed units and whether each counts toward % (OQ6 option A: all planned units count).</t>
        </is>
      </c>
      <c r="E46" s="5" t="inlineStr">
        <is>
          <t>Not written</t>
        </is>
      </c>
    </row>
    <row r="47">
      <c r="A47" s="5" t="inlineStr">
        <is>
          <t>REC-04-AC2</t>
        </is>
      </c>
      <c r="B47" s="5" t="inlineStr">
        <is>
          <t>REC-04</t>
        </is>
      </c>
      <c r="C47" s="5" t="inlineStr">
        <is>
          <t>Rule</t>
        </is>
      </c>
      <c r="D47" s="5" t="inlineStr">
        <is>
          <t>Given the list, Then % complete = Σ confirmed ÷ Σ planned, and Recognition due = round(% × contract value) − recognised to date, with the formula shown.</t>
        </is>
      </c>
      <c r="E47" s="5" t="inlineStr">
        <is>
          <t>Not written</t>
        </is>
      </c>
    </row>
    <row r="48">
      <c r="A48" s="5" t="inlineStr">
        <is>
          <t>REC-04-AC3</t>
        </is>
      </c>
      <c r="B48" s="5" t="inlineStr">
        <is>
          <t>REC-04</t>
        </is>
      </c>
      <c r="C48" s="5" t="inlineStr">
        <is>
          <t>Data check</t>
        </is>
      </c>
      <c r="D48" s="5" t="inlineStr">
        <is>
          <t>Given Kamala seed (36 of 80 units, 30% recognised), Then % complete reads 45% and Recognition due Rp100.410.000.</t>
        </is>
      </c>
      <c r="E48" s="5" t="inlineStr">
        <is>
          <t>Not written</t>
        </is>
      </c>
    </row>
    <row r="49">
      <c r="A49" s="5" t="inlineStr">
        <is>
          <t>REC-04-AC4</t>
        </is>
      </c>
      <c r="B49" s="5" t="inlineStr">
        <is>
          <t>REC-04</t>
        </is>
      </c>
      <c r="C49" s="5" t="inlineStr">
        <is>
          <t>Happy path</t>
        </is>
      </c>
      <c r="D49" s="5" t="inlineStr">
        <is>
          <t>Given Run recognition, Then one posting is created for the due amount and no invoice is created.</t>
        </is>
      </c>
      <c r="E49" s="5" t="inlineStr">
        <is>
          <t>Not written</t>
        </is>
      </c>
    </row>
    <row r="50">
      <c r="A50" s="5" t="inlineStr">
        <is>
          <t>REC-04-AC5</t>
        </is>
      </c>
      <c r="B50" s="5" t="inlineStr">
        <is>
          <t>REC-04</t>
        </is>
      </c>
      <c r="C50" s="5" t="inlineStr">
        <is>
          <t>Edge</t>
        </is>
      </c>
      <c r="D50" s="5" t="inlineStr">
        <is>
          <t>Given due = 0, Then Run recognition is disabled.</t>
        </is>
      </c>
      <c r="E50" s="5" t="inlineStr">
        <is>
          <t>Not written</t>
        </is>
      </c>
    </row>
    <row r="51">
      <c r="A51" s="5" t="inlineStr">
        <is>
          <t>REC-04-AC6</t>
        </is>
      </c>
      <c r="B51" s="5" t="inlineStr">
        <is>
          <t>REC-04</t>
        </is>
      </c>
      <c r="C51" s="5" t="inlineStr">
        <is>
          <t>Edge</t>
        </is>
      </c>
      <c r="D51" s="5" t="inlineStr">
        <is>
          <t>Given confirmed units decrease (correction), Then due is negative and the run posts a reversal with the same audit trail.</t>
        </is>
      </c>
      <c r="E51" s="5" t="inlineStr">
        <is>
          <t>Not written</t>
        </is>
      </c>
    </row>
    <row r="52">
      <c r="A52" s="5" t="inlineStr">
        <is>
          <t>REC-05-AC1</t>
        </is>
      </c>
      <c r="B52" s="5" t="inlineStr">
        <is>
          <t>REC-05</t>
        </is>
      </c>
      <c r="C52" s="5" t="inlineStr">
        <is>
          <t>Happy path</t>
        </is>
      </c>
      <c r="D52" s="5" t="inlineStr">
        <is>
          <t>Given an Input project with a budget, Then the tab shows actual cost, budget and live % complete.</t>
        </is>
      </c>
      <c r="E52" s="5" t="inlineStr">
        <is>
          <t>Not written</t>
        </is>
      </c>
    </row>
    <row r="53">
      <c r="A53" s="5" t="inlineStr">
        <is>
          <t>REC-05-AC2</t>
        </is>
      </c>
      <c r="B53" s="5" t="inlineStr">
        <is>
          <t>REC-05</t>
        </is>
      </c>
      <c r="C53" s="5" t="inlineStr">
        <is>
          <t>Happy path</t>
        </is>
      </c>
      <c r="D53" s="5" t="inlineStr">
        <is>
          <t>Given new cost posts, Then % complete and Recognition due update without a manual refresh.</t>
        </is>
      </c>
      <c r="E53" s="5" t="inlineStr">
        <is>
          <t>Not written</t>
        </is>
      </c>
    </row>
    <row r="54">
      <c r="A54" s="5" t="inlineStr">
        <is>
          <t>REC-05-AC3</t>
        </is>
      </c>
      <c r="B54" s="5" t="inlineStr">
        <is>
          <t>REC-05</t>
        </is>
      </c>
      <c r="C54" s="5" t="inlineStr">
        <is>
          <t>Happy path</t>
        </is>
      </c>
      <c r="D54" s="5" t="inlineStr">
        <is>
          <t>Given Run recognition, Then one posting is created for round(% × contract value) − recognised to date; no invoice is created.</t>
        </is>
      </c>
      <c r="E54" s="5" t="inlineStr">
        <is>
          <t>Not written</t>
        </is>
      </c>
    </row>
    <row r="55">
      <c r="A55" s="5" t="inlineStr">
        <is>
          <t>REC-05-AC4</t>
        </is>
      </c>
      <c r="B55" s="5" t="inlineStr">
        <is>
          <t>REC-05</t>
        </is>
      </c>
      <c r="C55" s="5" t="inlineStr">
        <is>
          <t>Edge</t>
        </is>
      </c>
      <c r="D55" s="5" t="inlineStr">
        <is>
          <t>Given actual cost exceeds budget, Then % complete caps at 100% and a warning suggests reviewing the budget (loss provision out of scope, G4).</t>
        </is>
      </c>
      <c r="E55" s="5" t="inlineStr">
        <is>
          <t>Not written</t>
        </is>
      </c>
    </row>
    <row r="56">
      <c r="A56" s="5" t="inlineStr">
        <is>
          <t>REC-05-AC5</t>
        </is>
      </c>
      <c r="B56" s="5" t="inlineStr">
        <is>
          <t>REC-05</t>
        </is>
      </c>
      <c r="C56" s="5" t="inlineStr">
        <is>
          <t>Gate</t>
        </is>
      </c>
      <c r="D56" s="5" t="inlineStr">
        <is>
          <t>Given no budget baseline, Then % complete reads “—”, Run is disabled, and a link opens Budget setup.</t>
        </is>
      </c>
      <c r="E56" s="5" t="inlineStr">
        <is>
          <t>Not written</t>
        </is>
      </c>
    </row>
    <row r="57">
      <c r="A57" s="5" t="inlineStr">
        <is>
          <t>REC-05-AC6</t>
        </is>
      </c>
      <c r="B57" s="5" t="inlineStr">
        <is>
          <t>REC-05</t>
        </is>
      </c>
      <c r="C57" s="5" t="inlineStr">
        <is>
          <t>Rule</t>
        </is>
      </c>
      <c r="D57" s="5" t="inlineStr">
        <is>
          <t>Given ambiguous cost (scrap, consumables, factory overhead) not yet classified, Then it is excluded from actual.</t>
        </is>
      </c>
      <c r="E57" s="5" t="inlineStr">
        <is>
          <t>Not written</t>
        </is>
      </c>
    </row>
    <row r="58">
      <c r="A58" s="5" t="inlineStr">
        <is>
          <t>REC-06-AC1</t>
        </is>
      </c>
      <c r="B58" s="5" t="inlineStr">
        <is>
          <t>REC-06</t>
        </is>
      </c>
      <c r="C58" s="5" t="inlineStr">
        <is>
          <t>Happy path</t>
        </is>
      </c>
      <c r="D58" s="5" t="inlineStr">
        <is>
          <t>Given a T&amp;M project, Then unbilled entries list person, description, hours, cost, standard amount at bill rate and a Decision select that starts at “Decide…”.</t>
        </is>
      </c>
      <c r="E58" s="5" t="inlineStr">
        <is>
          <t>Not written</t>
        </is>
      </c>
    </row>
    <row r="59">
      <c r="A59" s="5" t="inlineStr">
        <is>
          <t>REC-06-AC2</t>
        </is>
      </c>
      <c r="B59" s="5" t="inlineStr">
        <is>
          <t>REC-06</t>
        </is>
      </c>
      <c r="C59" s="5" t="inlineStr">
        <is>
          <t>Happy path</t>
        </is>
      </c>
      <c r="D59" s="5" t="inlineStr">
        <is>
          <t>Given Bill, Then bill amount = hours × bill rate.</t>
        </is>
      </c>
      <c r="E59" s="5" t="inlineStr">
        <is>
          <t>Not written</t>
        </is>
      </c>
    </row>
    <row r="60">
      <c r="A60" s="5" t="inlineStr">
        <is>
          <t>REC-06-AC3</t>
        </is>
      </c>
      <c r="B60" s="5" t="inlineStr">
        <is>
          <t>REC-06</t>
        </is>
      </c>
      <c r="C60" s="5" t="inlineStr">
        <is>
          <t>Happy path</t>
        </is>
      </c>
      <c r="D60" s="5" t="inlineStr">
        <is>
          <t>Given Write-down or Write-up, Then a bill amount and a reason are required and the change is audited.</t>
        </is>
      </c>
      <c r="E60" s="5" t="inlineStr">
        <is>
          <t>Not written</t>
        </is>
      </c>
    </row>
    <row r="61">
      <c r="A61" s="5" t="inlineStr">
        <is>
          <t>REC-06-AC4</t>
        </is>
      </c>
      <c r="B61" s="5" t="inlineStr">
        <is>
          <t>REC-06</t>
        </is>
      </c>
      <c r="C61" s="5" t="inlineStr">
        <is>
          <t>Happy path</t>
        </is>
      </c>
      <c r="D61" s="5" t="inlineStr">
        <is>
          <t>Given entries still at “Decide…”, Then a counter shows how many are awaiting a decision.</t>
        </is>
      </c>
      <c r="E61" s="5" t="inlineStr">
        <is>
          <t>Not written</t>
        </is>
      </c>
    </row>
    <row r="62">
      <c r="A62" s="5" t="inlineStr">
        <is>
          <t>REC-06-AC5</t>
        </is>
      </c>
      <c r="B62" s="5" t="inlineStr">
        <is>
          <t>REC-06</t>
        </is>
      </c>
      <c r="C62" s="5" t="inlineStr">
        <is>
          <t>Edge</t>
        </is>
      </c>
      <c r="D62" s="5" t="inlineStr">
        <is>
          <t>Given an invoiced entry, Then its decision is read-only and shows the invoice number.</t>
        </is>
      </c>
      <c r="E62" s="5" t="inlineStr">
        <is>
          <t>Not written</t>
        </is>
      </c>
    </row>
    <row r="63">
      <c r="A63" s="5" t="inlineStr">
        <is>
          <t>REC-07-AC1</t>
        </is>
      </c>
      <c r="B63" s="5" t="inlineStr">
        <is>
          <t>REC-07</t>
        </is>
      </c>
      <c r="C63" s="5" t="inlineStr">
        <is>
          <t>Happy path</t>
        </is>
      </c>
      <c r="D63" s="5" t="inlineStr">
        <is>
          <t>Given decided, uninvoiced entries, When I choose Invoice decided entries, Then one invoice is created for the sum of bill amounts.</t>
        </is>
      </c>
      <c r="E63" s="5" t="inlineStr">
        <is>
          <t>Not written</t>
        </is>
      </c>
    </row>
    <row r="64">
      <c r="A64" s="5" t="inlineStr">
        <is>
          <t>REC-07-AC2</t>
        </is>
      </c>
      <c r="B64" s="5" t="inlineStr">
        <is>
          <t>REC-07</t>
        </is>
      </c>
      <c r="C64" s="5" t="inlineStr">
        <is>
          <t>Rule</t>
        </is>
      </c>
      <c r="D64" s="5" t="inlineStr">
        <is>
          <t>Given the same action, Then one recognition posting of the same amount is created as a separate record.</t>
        </is>
      </c>
      <c r="E64" s="5" t="inlineStr">
        <is>
          <t>Not written</t>
        </is>
      </c>
    </row>
    <row r="65">
      <c r="A65" s="5" t="inlineStr">
        <is>
          <t>REC-07-AC3</t>
        </is>
      </c>
      <c r="B65" s="5" t="inlineStr">
        <is>
          <t>REC-07</t>
        </is>
      </c>
      <c r="C65" s="5" t="inlineStr">
        <is>
          <t>Edge</t>
        </is>
      </c>
      <c r="D65" s="5" t="inlineStr">
        <is>
          <t>Given undecided entries, Then they are left out and the result states how many remain.</t>
        </is>
      </c>
      <c r="E65" s="5" t="inlineStr">
        <is>
          <t>Not written</t>
        </is>
      </c>
    </row>
    <row r="66">
      <c r="A66" s="5" t="inlineStr">
        <is>
          <t>REC-07-AC4</t>
        </is>
      </c>
      <c r="B66" s="5" t="inlineStr">
        <is>
          <t>REC-07</t>
        </is>
      </c>
      <c r="C66" s="5" t="inlineStr">
        <is>
          <t>Gate</t>
        </is>
      </c>
      <c r="D66" s="5" t="inlineStr">
        <is>
          <t>Given no decided entries, Then the action is disabled with the reason.</t>
        </is>
      </c>
      <c r="E66" s="5" t="inlineStr">
        <is>
          <t>Not written</t>
        </is>
      </c>
    </row>
    <row r="67">
      <c r="A67" s="5" t="inlineStr">
        <is>
          <t>REC-08-AC1</t>
        </is>
      </c>
      <c r="B67" s="5" t="inlineStr">
        <is>
          <t>REC-08</t>
        </is>
      </c>
      <c r="C67" s="5" t="inlineStr">
        <is>
          <t>Happy path</t>
        </is>
      </c>
      <c r="D67" s="5" t="inlineStr">
        <is>
          <t>Given a project linked to a contract/SO, Then its billing terms are listed with share, trigger, amount and invoice status — read from the contract module (OQ11).</t>
        </is>
      </c>
      <c r="E67" s="5" t="inlineStr">
        <is>
          <t>Not written</t>
        </is>
      </c>
    </row>
    <row r="68">
      <c r="A68" s="5" t="inlineStr">
        <is>
          <t>REC-08-AC2</t>
        </is>
      </c>
      <c r="B68" s="5" t="inlineStr">
        <is>
          <t>REC-08</t>
        </is>
      </c>
      <c r="C68" s="5" t="inlineStr">
        <is>
          <t>Happy path</t>
        </is>
      </c>
      <c r="D68" s="5" t="inlineStr">
        <is>
          <t>Given a trigger (on signing / cumulative progress ≥ x% / at handover), Then its status shows Trigger met or Not met yet.</t>
        </is>
      </c>
      <c r="E68" s="5" t="inlineStr">
        <is>
          <t>Not written</t>
        </is>
      </c>
    </row>
    <row r="69">
      <c r="A69" s="5" t="inlineStr">
        <is>
          <t>REC-08-AC3</t>
        </is>
      </c>
      <c r="B69" s="5" t="inlineStr">
        <is>
          <t>REC-08</t>
        </is>
      </c>
      <c r="C69" s="5" t="inlineStr">
        <is>
          <t>Rule</t>
        </is>
      </c>
      <c r="D69" s="5" t="inlineStr">
        <is>
          <t>Given Issue term invoice, Then one invoice is created for share × current contract value and no recognition posting is created.</t>
        </is>
      </c>
      <c r="E69" s="5" t="inlineStr">
        <is>
          <t>Not written</t>
        </is>
      </c>
    </row>
    <row r="70">
      <c r="A70" s="5" t="inlineStr">
        <is>
          <t>REC-08-AC4</t>
        </is>
      </c>
      <c r="B70" s="5" t="inlineStr">
        <is>
          <t>REC-08</t>
        </is>
      </c>
      <c r="C70" s="5" t="inlineStr">
        <is>
          <t>Edge</t>
        </is>
      </c>
      <c r="D70" s="5" t="inlineStr">
        <is>
          <t>Given the trigger is not met, Then the confirm dialog warns but still allows issuing if the customer agreed.</t>
        </is>
      </c>
      <c r="E70" s="5" t="inlineStr">
        <is>
          <t>Not written</t>
        </is>
      </c>
    </row>
    <row r="71">
      <c r="A71" s="5" t="inlineStr">
        <is>
          <t>REC-08-AC5</t>
        </is>
      </c>
      <c r="B71" s="5" t="inlineStr">
        <is>
          <t>REC-08</t>
        </is>
      </c>
      <c r="C71" s="5" t="inlineStr">
        <is>
          <t>Happy path</t>
        </is>
      </c>
      <c r="D71" s="5" t="inlineStr">
        <is>
          <t>Given the confirm dialog, Then it previews WIP after the invoice.</t>
        </is>
      </c>
      <c r="E71" s="5" t="inlineStr">
        <is>
          <t>Not written</t>
        </is>
      </c>
    </row>
    <row r="72">
      <c r="A72" s="5" t="inlineStr">
        <is>
          <t>REC-08-AC6</t>
        </is>
      </c>
      <c r="B72" s="5" t="inlineStr">
        <is>
          <t>REC-08</t>
        </is>
      </c>
      <c r="C72" s="5" t="inlineStr">
        <is>
          <t>Data check</t>
        </is>
      </c>
      <c r="D72" s="5" t="inlineStr">
        <is>
          <t>Given a DP invoice before any progress, Then WIP shows an overbilled liability equal to the DP.</t>
        </is>
      </c>
      <c r="E72" s="5" t="inlineStr">
        <is>
          <t>Not written</t>
        </is>
      </c>
    </row>
    <row r="73">
      <c r="A73" s="5" t="inlineStr">
        <is>
          <t>REC-08-AC7</t>
        </is>
      </c>
      <c r="B73" s="5" t="inlineStr">
        <is>
          <t>REC-08</t>
        </is>
      </c>
      <c r="C73" s="5" t="inlineStr">
        <is>
          <t>Rule</t>
        </is>
      </c>
      <c r="D73" s="5" t="inlineStr">
        <is>
          <t>Given terms that don’t align with phases (IPB: DP 30% / progress 50% / settlement 20% vs 5 phases), Then nothing tries to map terms to phases.</t>
        </is>
      </c>
      <c r="E73" s="5" t="inlineStr">
        <is>
          <t>Not written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00" customWidth="1" min="3" max="3"/>
    <col width="18" customWidth="1" min="4" max="4"/>
  </cols>
  <sheetData>
    <row r="1">
      <c r="A1" s="4" t="inlineStr">
        <is>
          <t>Rule ID</t>
        </is>
      </c>
      <c r="B1" s="4" t="inlineStr">
        <is>
          <t>Story</t>
        </is>
      </c>
      <c r="C1" s="4" t="inlineStr">
        <is>
          <t>Rule</t>
        </is>
      </c>
      <c r="D1" s="4" t="inlineStr">
        <is>
          <t>Block / Warn / Format</t>
        </is>
      </c>
    </row>
    <row r="2">
      <c r="A2" s="5" t="inlineStr">
        <is>
          <t>PW-01-VR1</t>
        </is>
      </c>
      <c r="B2" s="5" t="inlineStr">
        <is>
          <t>PW-01</t>
        </is>
      </c>
      <c r="C2" s="5" t="inlineStr">
        <is>
          <t>Weight is a number from 0 to 100, at most 2 decimal places.</t>
        </is>
      </c>
      <c r="D2" s="5" t="inlineStr">
        <is>
          <t>Block</t>
        </is>
      </c>
    </row>
    <row r="3">
      <c r="A3" s="5" t="inlineStr">
        <is>
          <t>PW-01-VR2</t>
        </is>
      </c>
      <c r="B3" s="5" t="inlineStr">
        <is>
          <t>PW-01</t>
        </is>
      </c>
      <c r="C3" s="5" t="inlineStr">
        <is>
          <t>Accepts comma or dot as decimal separator; displays in id-ID format (50,8%).</t>
        </is>
      </c>
      <c r="D3" s="5" t="inlineStr">
        <is>
          <t>Format</t>
        </is>
      </c>
    </row>
    <row r="4">
      <c r="A4" s="5" t="inlineStr">
        <is>
          <t>PW-01-VR3</t>
        </is>
      </c>
      <c r="B4" s="5" t="inlineStr">
        <is>
          <t>PW-01</t>
        </is>
      </c>
      <c r="C4" s="5" t="inlineStr">
        <is>
          <t>Weight input exists only when method = Output and measure = milestone and the phase is not auto.</t>
        </is>
      </c>
      <c r="D4" s="5" t="inlineStr">
        <is>
          <t>Block</t>
        </is>
      </c>
    </row>
    <row r="5">
      <c r="A5" s="5" t="inlineStr">
        <is>
          <t>PW-01-VR4</t>
        </is>
      </c>
      <c r="B5" s="5" t="inlineStr">
        <is>
          <t>PW-01</t>
        </is>
      </c>
      <c r="C5" s="5" t="inlineStr">
        <is>
          <t>Editing is allowed while the project is Draft or Active; closed projects are read-only.</t>
        </is>
      </c>
      <c r="D5" s="5" t="inlineStr">
        <is>
          <t>Block</t>
        </is>
      </c>
    </row>
    <row r="6">
      <c r="A6" s="5" t="inlineStr">
        <is>
          <t>PW-01-VR5</t>
        </is>
      </c>
      <c r="B6" s="5" t="inlineStr">
        <is>
          <t>PW-01</t>
        </is>
      </c>
      <c r="C6" s="5" t="inlineStr">
        <is>
          <t>Tenant guard: the phase must belong to a project of the signed-in company (OQ17).</t>
        </is>
      </c>
      <c r="D6" s="5" t="inlineStr">
        <is>
          <t>Block</t>
        </is>
      </c>
    </row>
    <row r="7">
      <c r="A7" s="5" t="inlineStr">
        <is>
          <t>PW-02-VR1</t>
        </is>
      </c>
      <c r="B7" s="5" t="inlineStr">
        <is>
          <t>PW-02</t>
        </is>
      </c>
      <c r="C7" s="5" t="inlineStr">
        <is>
          <t>Total = sum of non-auto phase weights, compared at 2 decimal places; exactly 100.00 passes.</t>
        </is>
      </c>
      <c r="D7" s="5" t="inlineStr">
        <is>
          <t>Block</t>
        </is>
      </c>
    </row>
    <row r="8">
      <c r="A8" s="5" t="inlineStr">
        <is>
          <t>PW-02-VR2</t>
        </is>
      </c>
      <c r="B8" s="5" t="inlineStr">
        <is>
          <t>PW-02</t>
        </is>
      </c>
      <c r="C8" s="5" t="inlineStr">
        <is>
          <t>The gate uses the same computed total that the summary displays.</t>
        </is>
      </c>
      <c r="D8" s="5" t="inlineStr">
        <is>
          <t>Block</t>
        </is>
      </c>
    </row>
    <row r="9">
      <c r="A9" s="5" t="inlineStr">
        <is>
          <t>PW-02-VR3</t>
        </is>
      </c>
      <c r="B9" s="5" t="inlineStr">
        <is>
          <t>PW-02</t>
        </is>
      </c>
      <c r="C9" s="5" t="inlineStr">
        <is>
          <t>Summary recalculates on every weight save, phase add and phase delete.</t>
        </is>
      </c>
      <c r="D9" s="5" t="inlineStr">
        <is>
          <t>Format</t>
        </is>
      </c>
    </row>
    <row r="10">
      <c r="A10" s="5" t="inlineStr">
        <is>
          <t>PW-03-VR1</t>
        </is>
      </c>
      <c r="B10" s="5" t="inlineStr">
        <is>
          <t>PW-03</t>
        </is>
      </c>
      <c r="C10" s="5" t="inlineStr">
        <is>
          <t>Suggestion source is RAB (contract side), never RAP (cost plan) — using cost share would run Input under the name Output.</t>
        </is>
      </c>
      <c r="D10" s="5" t="inlineStr">
        <is>
          <t>Block</t>
        </is>
      </c>
    </row>
    <row r="11">
      <c r="A11" s="5" t="inlineStr">
        <is>
          <t>PW-03-VR2</t>
        </is>
      </c>
      <c r="B11" s="5" t="inlineStr">
        <is>
          <t>PW-03</t>
        </is>
      </c>
      <c r="C11" s="5" t="inlineStr">
        <is>
          <t>Verified phases are excluded from applying suggestions.</t>
        </is>
      </c>
      <c r="D11" s="5" t="inlineStr">
        <is>
          <t>Block</t>
        </is>
      </c>
    </row>
    <row r="12">
      <c r="A12" s="5" t="inlineStr">
        <is>
          <t>PW-03-VR3</t>
        </is>
      </c>
      <c r="B12" s="5" t="inlineStr">
        <is>
          <t>PW-03</t>
        </is>
      </c>
      <c r="C12" s="5" t="inlineStr">
        <is>
          <t>Rounded suggestions may not total exactly 100%; the PW-02 gate still applies.</t>
        </is>
      </c>
      <c r="D12" s="5" t="inlineStr">
        <is>
          <t>Warn</t>
        </is>
      </c>
    </row>
    <row r="13">
      <c r="A13" s="5" t="inlineStr">
        <is>
          <t>PW-03-VR4</t>
        </is>
      </c>
      <c r="B13" s="5" t="inlineStr">
        <is>
          <t>PW-03</t>
        </is>
      </c>
      <c r="C13" s="5" t="inlineStr">
        <is>
          <t>Phase RAB value: non-negative whole rupiah.</t>
        </is>
      </c>
      <c r="D13" s="5" t="inlineStr">
        <is>
          <t>Block</t>
        </is>
      </c>
    </row>
    <row r="14">
      <c r="A14" s="5" t="inlineStr">
        <is>
          <t>PW-04-VR1</t>
        </is>
      </c>
      <c r="B14" s="5" t="inlineStr">
        <is>
          <t>PW-04</t>
        </is>
      </c>
      <c r="C14" s="5" t="inlineStr">
        <is>
          <t>A phase with verifiedAt set is immutable (weight, name, delete).</t>
        </is>
      </c>
      <c r="D14" s="5" t="inlineStr">
        <is>
          <t>Block</t>
        </is>
      </c>
    </row>
    <row r="15">
      <c r="A15" s="5" t="inlineStr">
        <is>
          <t>PW-04-VR2</t>
        </is>
      </c>
      <c r="B15" s="5" t="inlineStr">
        <is>
          <t>PW-04</t>
        </is>
      </c>
      <c r="C15" s="5" t="inlineStr">
        <is>
          <t>A reweight-required flag blocks REC-03 until cleared by Reconfirm at 100%.</t>
        </is>
      </c>
      <c r="D15" s="5" t="inlineStr">
        <is>
          <t>Block</t>
        </is>
      </c>
    </row>
    <row r="16">
      <c r="A16" s="5" t="inlineStr">
        <is>
          <t>PW-04-VR3</t>
        </is>
      </c>
      <c r="B16" s="5" t="inlineStr">
        <is>
          <t>PW-04</t>
        </is>
      </c>
      <c r="C16" s="5" t="inlineStr">
        <is>
          <t>Reconfirm is allowed only when the total is exactly 100%.</t>
        </is>
      </c>
      <c r="D16" s="5" t="inlineStr">
        <is>
          <t>Block</t>
        </is>
      </c>
    </row>
    <row r="17">
      <c r="A17" s="5" t="inlineStr">
        <is>
          <t>REC-01-VR1</t>
        </is>
      </c>
      <c r="B17" s="5" t="inlineStr">
        <is>
          <t>REC-01</t>
        </is>
      </c>
      <c r="C17" s="5" t="inlineStr">
        <is>
          <t>method ∈ {tm, input, output}; measure ∈ {milestone, unit} only when method = output.</t>
        </is>
      </c>
      <c r="D17" s="5" t="inlineStr">
        <is>
          <t>Block</t>
        </is>
      </c>
    </row>
    <row r="18">
      <c r="A18" s="5" t="inlineStr">
        <is>
          <t>REC-01-VR2</t>
        </is>
      </c>
      <c r="B18" s="5" t="inlineStr">
        <is>
          <t>REC-01</t>
        </is>
      </c>
      <c r="C18" s="5" t="inlineStr">
        <is>
          <t>Changing method/measure on an Active project is impossible without re-open.</t>
        </is>
      </c>
      <c r="D18" s="5" t="inlineStr">
        <is>
          <t>Block</t>
        </is>
      </c>
    </row>
    <row r="19">
      <c r="A19" s="5" t="inlineStr">
        <is>
          <t>REC-01-VR3</t>
        </is>
      </c>
      <c r="B19" s="5" t="inlineStr">
        <is>
          <t>REC-01</t>
        </is>
      </c>
      <c r="C19" s="5" t="inlineStr">
        <is>
          <t>Re-open is refused once any recognition posting exists.</t>
        </is>
      </c>
      <c r="D19" s="5" t="inlineStr">
        <is>
          <t>Block</t>
        </is>
      </c>
    </row>
    <row r="20">
      <c r="A20" s="5" t="inlineStr">
        <is>
          <t>REC-01-VR4</t>
        </is>
      </c>
      <c r="B20" s="5" t="inlineStr">
        <is>
          <t>REC-01</t>
        </is>
      </c>
      <c r="C20" s="5" t="inlineStr">
        <is>
          <t>Re-open reason: required, 5–500 characters.</t>
        </is>
      </c>
      <c r="D20" s="5" t="inlineStr">
        <is>
          <t>Block</t>
        </is>
      </c>
    </row>
    <row r="21">
      <c r="A21" s="5" t="inlineStr">
        <is>
          <t>REC-02-VR1</t>
        </is>
      </c>
      <c r="B21" s="5" t="inlineStr">
        <is>
          <t>REC-02</t>
        </is>
      </c>
      <c r="C21" s="5" t="inlineStr">
        <is>
          <t>Recognition and billing are separate records; no single action creates both.</t>
        </is>
      </c>
      <c r="D21" s="5" t="inlineStr">
        <is>
          <t>Block</t>
        </is>
      </c>
    </row>
    <row r="22">
      <c r="A22" s="5" t="inlineStr">
        <is>
          <t>REC-02-VR2</t>
        </is>
      </c>
      <c r="B22" s="5" t="inlineStr">
        <is>
          <t>REC-02</t>
        </is>
      </c>
      <c r="C22" s="5" t="inlineStr">
        <is>
          <t>WIP = Σ recognition postings − Σ invoices for the project (whole rupiah).</t>
        </is>
      </c>
      <c r="D22" s="5" t="inlineStr">
        <is>
          <t>Block</t>
        </is>
      </c>
    </row>
    <row r="23">
      <c r="A23" s="5" t="inlineStr">
        <is>
          <t>REC-02-VR3</t>
        </is>
      </c>
      <c r="B23" s="5" t="inlineStr">
        <is>
          <t>REC-02</t>
        </is>
      </c>
      <c r="C23" s="5" t="inlineStr">
        <is>
          <t>Postings are append-only; corrections are reversal postings (G6), never edits or deletes.</t>
        </is>
      </c>
      <c r="D23" s="5" t="inlineStr">
        <is>
          <t>Block</t>
        </is>
      </c>
    </row>
    <row r="24">
      <c r="A24" s="5" t="inlineStr">
        <is>
          <t>REC-02-VR4</t>
        </is>
      </c>
      <c r="B24" s="5" t="inlineStr">
        <is>
          <t>REC-02</t>
        </is>
      </c>
      <c r="C24" s="5" t="inlineStr">
        <is>
          <t>Posting date must fall in an open accounting period (G5).</t>
        </is>
      </c>
      <c r="D24" s="5" t="inlineStr">
        <is>
          <t>Block</t>
        </is>
      </c>
    </row>
    <row r="25">
      <c r="A25" s="5" t="inlineStr">
        <is>
          <t>REC-02-VR5</t>
        </is>
      </c>
      <c r="B25" s="5" t="inlineStr">
        <is>
          <t>REC-02</t>
        </is>
      </c>
      <c r="C25" s="5" t="inlineStr">
        <is>
          <t>Tenant guard on every read and write (OQ17).</t>
        </is>
      </c>
      <c r="D25" s="5" t="inlineStr">
        <is>
          <t>Block</t>
        </is>
      </c>
    </row>
    <row r="26">
      <c r="A26" s="5" t="inlineStr">
        <is>
          <t>REC-03-VR1</t>
        </is>
      </c>
      <c r="B26" s="5" t="inlineStr">
        <is>
          <t>REC-03</t>
        </is>
      </c>
      <c r="C26" s="5" t="inlineStr">
        <is>
          <t>BAST number required, 3–50 characters, unique per project.</t>
        </is>
      </c>
      <c r="D26" s="5" t="inlineStr">
        <is>
          <t>Block</t>
        </is>
      </c>
    </row>
    <row r="27">
      <c r="A27" s="5" t="inlineStr">
        <is>
          <t>REC-03-VR2</t>
        </is>
      </c>
      <c r="B27" s="5" t="inlineStr">
        <is>
          <t>REC-03</t>
        </is>
      </c>
      <c r="C27" s="5" t="inlineStr">
        <is>
          <t>A phase can be verified once; verification is irreversible except by Finance reversal (G6).</t>
        </is>
      </c>
      <c r="D27" s="5" t="inlineStr">
        <is>
          <t>Block</t>
        </is>
      </c>
    </row>
    <row r="28">
      <c r="A28" s="5" t="inlineStr">
        <is>
          <t>REC-03-VR3</t>
        </is>
      </c>
      <c r="B28" s="5" t="inlineStr">
        <is>
          <t>REC-03</t>
        </is>
      </c>
      <c r="C28" s="5" t="inlineStr">
        <is>
          <t>Verification date = posting date; must be in an open period (G5).</t>
        </is>
      </c>
      <c r="D28" s="5" t="inlineStr">
        <is>
          <t>Block</t>
        </is>
      </c>
    </row>
    <row r="29">
      <c r="A29" s="5" t="inlineStr">
        <is>
          <t>REC-03-VR4</t>
        </is>
      </c>
      <c r="B29" s="5" t="inlineStr">
        <is>
          <t>REC-03</t>
        </is>
      </c>
      <c r="C29" s="5" t="inlineStr">
        <is>
          <t>Only the PM or Finance may verify (G11).</t>
        </is>
      </c>
      <c r="D29" s="5" t="inlineStr">
        <is>
          <t>Block</t>
        </is>
      </c>
    </row>
    <row r="30">
      <c r="A30" s="5" t="inlineStr">
        <is>
          <t>REC-04-VR1</t>
        </is>
      </c>
      <c r="B30" s="5" t="inlineStr">
        <is>
          <t>REC-04</t>
        </is>
      </c>
      <c r="C30" s="5" t="inlineStr">
        <is>
          <t>Confirmed units source: WO output received for production work packages; BAST quantity for service work packages (G7).</t>
        </is>
      </c>
      <c r="D30" s="5" t="inlineStr">
        <is>
          <t>Block</t>
        </is>
      </c>
    </row>
    <row r="31">
      <c r="A31" s="5" t="inlineStr">
        <is>
          <t>REC-04-VR2</t>
        </is>
      </c>
      <c r="B31" s="5" t="inlineStr">
        <is>
          <t>REC-04</t>
        </is>
      </c>
      <c r="C31" s="5" t="inlineStr">
        <is>
          <t>Confirmed ≤ planned per work package.</t>
        </is>
      </c>
      <c r="D31" s="5" t="inlineStr">
        <is>
          <t>Block</t>
        </is>
      </c>
    </row>
    <row r="32">
      <c r="A32" s="5" t="inlineStr">
        <is>
          <t>REC-04-VR3</t>
        </is>
      </c>
      <c r="B32" s="5" t="inlineStr">
        <is>
          <t>REC-04</t>
        </is>
      </c>
      <c r="C32" s="5" t="inlineStr">
        <is>
          <t>Product ships option A; the A/B switch is prototype-only (OQ6 provisional).</t>
        </is>
      </c>
      <c r="D32" s="5" t="inlineStr">
        <is>
          <t>Format</t>
        </is>
      </c>
    </row>
    <row r="33">
      <c r="A33" s="5" t="inlineStr">
        <is>
          <t>REC-04-VR4</t>
        </is>
      </c>
      <c r="B33" s="5" t="inlineStr">
        <is>
          <t>REC-04</t>
        </is>
      </c>
      <c r="C33" s="5" t="inlineStr">
        <is>
          <t>Posting date in an open period (G5).</t>
        </is>
      </c>
      <c r="D33" s="5" t="inlineStr">
        <is>
          <t>Block</t>
        </is>
      </c>
    </row>
    <row r="34">
      <c r="A34" s="5" t="inlineStr">
        <is>
          <t>REC-05-VR1</t>
        </is>
      </c>
      <c r="B34" s="5" t="inlineStr">
        <is>
          <t>REC-05</t>
        </is>
      </c>
      <c r="C34" s="5" t="inlineStr">
        <is>
          <t>Denominator = current approved cost budget including phase reserves (G3 — Finance to confirm).</t>
        </is>
      </c>
      <c r="D34" s="5" t="inlineStr">
        <is>
          <t>Block</t>
        </is>
      </c>
    </row>
    <row r="35">
      <c r="A35" s="5" t="inlineStr">
        <is>
          <t>REC-05-VR2</t>
        </is>
      </c>
      <c r="B35" s="5" t="inlineStr">
        <is>
          <t>REC-05</t>
        </is>
      </c>
      <c r="C35" s="5" t="inlineStr">
        <is>
          <t>Numerator = actual project cost counted by the cost rollup (classified lines + WO actuals); committed cost excluded.</t>
        </is>
      </c>
      <c r="D35" s="5" t="inlineStr">
        <is>
          <t>Block</t>
        </is>
      </c>
    </row>
    <row r="36">
      <c r="A36" s="5" t="inlineStr">
        <is>
          <t>REC-05-VR3</t>
        </is>
      </c>
      <c r="B36" s="5" t="inlineStr">
        <is>
          <t>REC-05</t>
        </is>
      </c>
      <c r="C36" s="5" t="inlineStr">
        <is>
          <t>% complete capped at 100%.</t>
        </is>
      </c>
      <c r="D36" s="5" t="inlineStr">
        <is>
          <t>Block</t>
        </is>
      </c>
    </row>
    <row r="37">
      <c r="A37" s="5" t="inlineStr">
        <is>
          <t>REC-05-VR4</t>
        </is>
      </c>
      <c r="B37" s="5" t="inlineStr">
        <is>
          <t>REC-05</t>
        </is>
      </c>
      <c r="C37" s="5" t="inlineStr">
        <is>
          <t>Posting date in an open period (G5).</t>
        </is>
      </c>
      <c r="D37" s="5" t="inlineStr">
        <is>
          <t>Block</t>
        </is>
      </c>
    </row>
    <row r="38">
      <c r="A38" s="5" t="inlineStr">
        <is>
          <t>REC-06-VR1</t>
        </is>
      </c>
      <c r="B38" s="5" t="inlineStr">
        <is>
          <t>REC-06</t>
        </is>
      </c>
      <c r="C38" s="5" t="inlineStr">
        <is>
          <t>Write-down: 0 ≤ amount &lt; standard amount. Write-up: amount &gt; standard amount (no cap).</t>
        </is>
      </c>
      <c r="D38" s="5" t="inlineStr">
        <is>
          <t>Block</t>
        </is>
      </c>
    </row>
    <row r="39">
      <c r="A39" s="5" t="inlineStr">
        <is>
          <t>REC-06-VR2</t>
        </is>
      </c>
      <c r="B39" s="5" t="inlineStr">
        <is>
          <t>REC-06</t>
        </is>
      </c>
      <c r="C39" s="5" t="inlineStr">
        <is>
          <t>Reason required for write-down and write-up, 5–300 characters (G10, new requirement).</t>
        </is>
      </c>
      <c r="D39" s="5" t="inlineStr">
        <is>
          <t>Block</t>
        </is>
      </c>
    </row>
    <row r="40">
      <c r="A40" s="5" t="inlineStr">
        <is>
          <t>REC-06-VR3</t>
        </is>
      </c>
      <c r="B40" s="5" t="inlineStr">
        <is>
          <t>REC-06</t>
        </is>
      </c>
      <c r="C40" s="5" t="inlineStr">
        <is>
          <t>Only Finance or the PM may decide.</t>
        </is>
      </c>
      <c r="D40" s="5" t="inlineStr">
        <is>
          <t>Block</t>
        </is>
      </c>
    </row>
    <row r="41">
      <c r="A41" s="5" t="inlineStr">
        <is>
          <t>REC-07-VR1</t>
        </is>
      </c>
      <c r="B41" s="5" t="inlineStr">
        <is>
          <t>REC-07</t>
        </is>
      </c>
      <c r="C41" s="5" t="inlineStr">
        <is>
          <t>For T&amp;M, recognised = billed by design, but always as two postings (PRD §6 shortcut rule).</t>
        </is>
      </c>
      <c r="D41" s="5" t="inlineStr">
        <is>
          <t>Block</t>
        </is>
      </c>
    </row>
    <row r="42">
      <c r="A42" s="5" t="inlineStr">
        <is>
          <t>REC-07-VR2</t>
        </is>
      </c>
      <c r="B42" s="5" t="inlineStr">
        <is>
          <t>REC-07</t>
        </is>
      </c>
      <c r="C42" s="5" t="inlineStr">
        <is>
          <t>Invoice and recognition share the posting date, in an open period.</t>
        </is>
      </c>
      <c r="D42" s="5" t="inlineStr">
        <is>
          <t>Block</t>
        </is>
      </c>
    </row>
    <row r="43">
      <c r="A43" s="5" t="inlineStr">
        <is>
          <t>REC-08-VR1</t>
        </is>
      </c>
      <c r="B43" s="5" t="inlineStr">
        <is>
          <t>REC-08</t>
        </is>
      </c>
      <c r="C43" s="5" t="inlineStr">
        <is>
          <t>Term amount always comes from the contract, never from phase weights.</t>
        </is>
      </c>
      <c r="D43" s="5" t="inlineStr">
        <is>
          <t>Block</t>
        </is>
      </c>
    </row>
    <row r="44">
      <c r="A44" s="5" t="inlineStr">
        <is>
          <t>REC-08-VR2</t>
        </is>
      </c>
      <c r="B44" s="5" t="inlineStr">
        <is>
          <t>REC-08</t>
        </is>
      </c>
      <c r="C44" s="5" t="inlineStr">
        <is>
          <t>A term can be invoiced once.</t>
        </is>
      </c>
      <c r="D44" s="5" t="inlineStr">
        <is>
          <t>Block</t>
        </is>
      </c>
    </row>
    <row r="45">
      <c r="A45" s="5" t="inlineStr">
        <is>
          <t>REC-08-VR3</t>
        </is>
      </c>
      <c r="B45" s="5" t="inlineStr">
        <is>
          <t>REC-08</t>
        </is>
      </c>
      <c r="C45" s="5" t="inlineStr">
        <is>
          <t>After a change order, uninvoiced terms use the new contract value; invoiced terms never change (G8).</t>
        </is>
      </c>
      <c r="D45" s="5" t="inlineStr">
        <is>
          <t>Block</t>
        </is>
      </c>
    </row>
    <row r="46">
      <c r="A46" s="5" t="inlineStr">
        <is>
          <t>REC-08-VR4</t>
        </is>
      </c>
      <c r="B46" s="5" t="inlineStr">
        <is>
          <t>REC-08</t>
        </is>
      </c>
      <c r="C46" s="5" t="inlineStr">
        <is>
          <t>Draft projects can’t bill.</t>
        </is>
      </c>
      <c r="D46" s="5" t="inlineStr">
        <is>
          <t>Block</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30" customWidth="1" min="3" max="3"/>
    <col width="60" customWidth="1" min="4" max="4"/>
    <col width="60" customWidth="1" min="5" max="5"/>
  </cols>
  <sheetData>
    <row r="1">
      <c r="A1" s="4" t="inlineStr">
        <is>
          <t>Error ID</t>
        </is>
      </c>
      <c r="B1" s="4" t="inlineStr">
        <is>
          <t>Story</t>
        </is>
      </c>
      <c r="C1" s="4" t="inlineStr">
        <is>
          <t>Scenario</t>
        </is>
      </c>
      <c r="D1" s="4" t="inlineStr">
        <is>
          <t>User copy (EN)</t>
        </is>
      </c>
      <c r="E1" s="4" t="inlineStr">
        <is>
          <t>User copy (ID)</t>
        </is>
      </c>
    </row>
    <row r="2">
      <c r="A2" s="5" t="inlineStr">
        <is>
          <t>PW-01-E1</t>
        </is>
      </c>
      <c r="B2" s="5" t="inlineStr">
        <is>
          <t>PW-01</t>
        </is>
      </c>
      <c r="C2" s="5" t="inlineStr">
        <is>
          <t>Value outside 0–100</t>
        </is>
      </c>
      <c r="D2" s="5" t="inlineStr">
        <is>
          <t>Enter a weight between 0% and 100%.</t>
        </is>
      </c>
      <c r="E2" s="5" t="inlineStr">
        <is>
          <t>Isi bobot antara 0% dan 100%.</t>
        </is>
      </c>
    </row>
    <row r="3">
      <c r="A3" s="5" t="inlineStr">
        <is>
          <t>PW-01-E2</t>
        </is>
      </c>
      <c r="B3" s="5" t="inlineStr">
        <is>
          <t>PW-01</t>
        </is>
      </c>
      <c r="C3" s="5" t="inlineStr">
        <is>
          <t>More than 2 decimals</t>
        </is>
      </c>
      <c r="D3" s="5" t="inlineStr">
        <is>
          <t>Use up to 2 decimal places.</t>
        </is>
      </c>
      <c r="E3" s="5" t="inlineStr">
        <is>
          <t>Gunakan maksimal 2 angka desimal.</t>
        </is>
      </c>
    </row>
    <row r="4">
      <c r="A4" s="5" t="inlineStr">
        <is>
          <t>PW-01-E3</t>
        </is>
      </c>
      <c r="B4" s="5" t="inlineStr">
        <is>
          <t>PW-01</t>
        </is>
      </c>
      <c r="C4" s="5" t="inlineStr">
        <is>
          <t>Project closed</t>
        </is>
      </c>
      <c r="D4" s="5" t="inlineStr">
        <is>
          <t>This project is closed, so weights can’t change.</t>
        </is>
      </c>
      <c r="E4" s="5" t="inlineStr">
        <is>
          <t>Proyek ini sudah ditutup, jadi bobot tidak dapat diubah.</t>
        </is>
      </c>
    </row>
    <row r="5">
      <c r="A5" s="5" t="inlineStr">
        <is>
          <t>PW-02-E1</t>
        </is>
      </c>
      <c r="B5" s="5" t="inlineStr">
        <is>
          <t>PW-02</t>
        </is>
      </c>
      <c r="C5" s="5" t="inlineStr">
        <is>
          <t>Verify with total ≠ 100%</t>
        </is>
      </c>
      <c r="D5" s="5" t="inlineStr">
        <is>
          <t>Progress weights total {total}, not 100%. Fix them on the Structure tab before verifying.</t>
        </is>
      </c>
      <c r="E5" s="5" t="inlineStr">
        <is>
          <t>Total bobot progres {total}, bukan 100%. Perbaiki di tab Struktur sebelum memverifikasi.</t>
        </is>
      </c>
    </row>
    <row r="6">
      <c r="A6" s="5" t="inlineStr">
        <is>
          <t>PW-02-E2</t>
        </is>
      </c>
      <c r="B6" s="5" t="inlineStr">
        <is>
          <t>PW-02</t>
        </is>
      </c>
      <c r="C6" s="5" t="inlineStr">
        <is>
          <t>Approve with total ≠ 100%</t>
        </is>
      </c>
      <c r="D6" s="5" t="inlineStr">
        <is>
          <t>Progress weights total {total}. Set them to 100% before approving.</t>
        </is>
      </c>
      <c r="E6" s="5" t="inlineStr">
        <is>
          <t>Total bobot progres {total}. Atur hingga 100% sebelum menyetujui.</t>
        </is>
      </c>
    </row>
    <row r="7">
      <c r="A7" s="5" t="inlineStr">
        <is>
          <t>PW-02-E3</t>
        </is>
      </c>
      <c r="B7" s="5" t="inlineStr">
        <is>
          <t>PW-02</t>
        </is>
      </c>
      <c r="C7" s="5" t="inlineStr">
        <is>
          <t>Milestone project at depth 1</t>
        </is>
      </c>
      <c r="D7" s="5" t="inlineStr">
        <is>
          <t>Milestone-measured Output needs phases — a depth-1 project can’t carry progress weight. Add the first phase.</t>
        </is>
      </c>
      <c r="E7" s="5" t="inlineStr">
        <is>
          <t>Output berbasis milestone memerlukan fase — proyek kedalaman 1 tidak dapat menampung bobot progres. Tambahkan fase pertama.</t>
        </is>
      </c>
    </row>
    <row r="8">
      <c r="A8" s="5" t="inlineStr">
        <is>
          <t>PW-03-E1</t>
        </is>
      </c>
      <c r="B8" s="5" t="inlineStr">
        <is>
          <t>PW-03</t>
        </is>
      </c>
      <c r="C8" s="5" t="inlineStr">
        <is>
          <t>No RAB values</t>
        </is>
      </c>
      <c r="D8" s="5" t="inlineStr">
        <is>
          <t>Enter each phase’s RAB value to get a suggestion (phase RAB ÷ total RAB), then adjust.</t>
        </is>
      </c>
      <c r="E8" s="5" t="inlineStr">
        <is>
          <t>Isi nilai RAB tiap fase untuk mendapat saran (RAB fase ÷ total RAB), lalu sesuaikan.</t>
        </is>
      </c>
    </row>
    <row r="9">
      <c r="A9" s="5" t="inlineStr">
        <is>
          <t>PW-03-E2</t>
        </is>
      </c>
      <c r="B9" s="5" t="inlineStr">
        <is>
          <t>PW-03</t>
        </is>
      </c>
      <c r="C9" s="5" t="inlineStr">
        <is>
          <t>Negative RAB</t>
        </is>
      </c>
      <c r="D9" s="5" t="inlineStr">
        <is>
          <t>RAB value can’t be negative.</t>
        </is>
      </c>
      <c r="E9" s="5" t="inlineStr">
        <is>
          <t>Nilai RAB tidak boleh negatif.</t>
        </is>
      </c>
    </row>
    <row r="10">
      <c r="A10" s="5" t="inlineStr">
        <is>
          <t>PW-04-E1</t>
        </is>
      </c>
      <c r="B10" s="5" t="inlineStr">
        <is>
          <t>PW-04</t>
        </is>
      </c>
      <c r="C10" s="5" t="inlineStr">
        <is>
          <t>Change a verified phase</t>
        </is>
      </c>
      <c r="D10" s="5" t="inlineStr">
        <is>
          <t>This phase is verified (BAST recorded), so it can’t be changed.</t>
        </is>
      </c>
      <c r="E10" s="5" t="inlineStr">
        <is>
          <t>Fase ini sudah terverifikasi (BAST tercatat), jadi tidak dapat diubah.</t>
        </is>
      </c>
    </row>
    <row r="11">
      <c r="A11" s="5" t="inlineStr">
        <is>
          <t>PW-04-E2</t>
        </is>
      </c>
      <c r="B11" s="5" t="inlineStr">
        <is>
          <t>PW-04</t>
        </is>
      </c>
      <c r="C11" s="5" t="inlineStr">
        <is>
          <t>Reconfirm with total ≠ 100%</t>
        </is>
      </c>
      <c r="D11" s="5" t="inlineStr">
        <is>
          <t>Weights total {total}. They must total 100% of the new contract value.</t>
        </is>
      </c>
      <c r="E11" s="5" t="inlineStr">
        <is>
          <t>Total bobot {total}. Totalnya harus 100% dari nilai kontrak baru.</t>
        </is>
      </c>
    </row>
    <row r="12">
      <c r="A12" s="5" t="inlineStr">
        <is>
          <t>PW-04-E3</t>
        </is>
      </c>
      <c r="B12" s="5" t="inlineStr">
        <is>
          <t>PW-04</t>
        </is>
      </c>
      <c r="C12" s="5" t="inlineStr">
        <is>
          <t>Verify while reweight required</t>
        </is>
      </c>
      <c r="D12" s="5" t="inlineStr">
        <is>
          <t>The contract value changed. Reconfirm the unverified weights to 100% of the new value before verifying.</t>
        </is>
      </c>
      <c r="E12" s="5" t="inlineStr">
        <is>
          <t>Nilai kontrak berubah. Konfirmasi ulang bobot yang belum terverifikasi ke 100% dari nilai baru sebelum memverifikasi.</t>
        </is>
      </c>
    </row>
    <row r="13">
      <c r="A13" s="5" t="inlineStr">
        <is>
          <t>REC-01-E1</t>
        </is>
      </c>
      <c r="B13" s="5" t="inlineStr">
        <is>
          <t>REC-01</t>
        </is>
      </c>
      <c r="C13" s="5" t="inlineStr">
        <is>
          <t>Approve as non-Finance</t>
        </is>
      </c>
      <c r="D13" s="5" t="inlineStr">
        <is>
          <t>Finance / Controller approves project release. Switch “View as” to approve.</t>
        </is>
      </c>
      <c r="E13" s="5" t="inlineStr">
        <is>
          <t>Finance / Controller yang menyetujui rilis proyek. Ganti “Lihat sebagai” untuk menyetujui.</t>
        </is>
      </c>
    </row>
    <row r="14">
      <c r="A14" s="5" t="inlineStr">
        <is>
          <t>REC-01-E2</t>
        </is>
      </c>
      <c r="B14" s="5" t="inlineStr">
        <is>
          <t>REC-01</t>
        </is>
      </c>
      <c r="C14" s="5" t="inlineStr">
        <is>
          <t>PM approves own project</t>
        </is>
      </c>
      <c r="D14" s="5" t="inlineStr">
        <is>
          <t>You manage this project, so someone else must approve it.</t>
        </is>
      </c>
      <c r="E14" s="5" t="inlineStr">
        <is>
          <t>Anda mengelola proyek ini, jadi orang lain yang harus menyetujuinya.</t>
        </is>
      </c>
    </row>
    <row r="15">
      <c r="A15" s="5" t="inlineStr">
        <is>
          <t>REC-01-E3</t>
        </is>
      </c>
      <c r="B15" s="5" t="inlineStr">
        <is>
          <t>REC-01</t>
        </is>
      </c>
      <c r="C15" s="5" t="inlineStr">
        <is>
          <t>Re-open after recognition</t>
        </is>
      </c>
      <c r="D15" s="5" t="inlineStr">
        <is>
          <t>Revenue has already been recognised on this project, so the method can’t be re-opened.</t>
        </is>
      </c>
      <c r="E15" s="5" t="inlineStr">
        <is>
          <t>Pendapatan sudah diakui di proyek ini, jadi metode tidak dapat dibuka ulang.</t>
        </is>
      </c>
    </row>
    <row r="16">
      <c r="A16" s="5" t="inlineStr">
        <is>
          <t>REC-01-E4</t>
        </is>
      </c>
      <c r="B16" s="5" t="inlineStr">
        <is>
          <t>REC-01</t>
        </is>
      </c>
      <c r="C16" s="5" t="inlineStr">
        <is>
          <t>Re-open without reason</t>
        </is>
      </c>
      <c r="D16" s="5" t="inlineStr">
        <is>
          <t>Enter a reason for re-opening.</t>
        </is>
      </c>
      <c r="E16" s="5" t="inlineStr">
        <is>
          <t>Isi alasan membuka ulang.</t>
        </is>
      </c>
    </row>
    <row r="17">
      <c r="A17" s="5" t="inlineStr">
        <is>
          <t>REC-02-E1</t>
        </is>
      </c>
      <c r="B17" s="5" t="inlineStr">
        <is>
          <t>REC-02</t>
        </is>
      </c>
      <c r="C17" s="5" t="inlineStr">
        <is>
          <t>Post into closed period</t>
        </is>
      </c>
      <c r="D17" s="5" t="inlineStr">
        <is>
          <t>This date is in a closed period. Pick a date in an open period.</t>
        </is>
      </c>
      <c r="E17" s="5" t="inlineStr">
        <is>
          <t>Tanggal ini ada di periode yang sudah ditutup. Pilih tanggal di periode terbuka.</t>
        </is>
      </c>
    </row>
    <row r="18">
      <c r="A18" s="5" t="inlineStr">
        <is>
          <t>REC-02-E2</t>
        </is>
      </c>
      <c r="B18" s="5" t="inlineStr">
        <is>
          <t>REC-02</t>
        </is>
      </c>
      <c r="C18" s="5" t="inlineStr">
        <is>
          <t>GL posting failed</t>
        </is>
      </c>
      <c r="D18" s="5" t="inlineStr">
        <is>
          <t>The posting couldn’t be saved, so nothing changed. Try again — if it keeps failing, contact support with reference {ref}.</t>
        </is>
      </c>
      <c r="E18" s="5" t="inlineStr">
        <is>
          <t>Posting tidak tersimpan, jadi tidak ada yang berubah. Coba lagi — jika terus gagal, hubungi support dengan referensi {ref}.</t>
        </is>
      </c>
    </row>
    <row r="19">
      <c r="A19" s="5" t="inlineStr">
        <is>
          <t>REC-03-E1</t>
        </is>
      </c>
      <c r="B19" s="5" t="inlineStr">
        <is>
          <t>REC-03</t>
        </is>
      </c>
      <c r="C19" s="5" t="inlineStr">
        <is>
          <t>Missing BAST number</t>
        </is>
      </c>
      <c r="D19" s="5" t="inlineStr">
        <is>
          <t>Enter the BAST number — a phase is achieved by third-party evidence.</t>
        </is>
      </c>
      <c r="E19" s="5" t="inlineStr">
        <is>
          <t>Isi nomor BAST — fase dinyatakan tercapai berdasarkan bukti pihak ketiga.</t>
        </is>
      </c>
    </row>
    <row r="20">
      <c r="A20" s="5" t="inlineStr">
        <is>
          <t>REC-03-E2</t>
        </is>
      </c>
      <c r="B20" s="5" t="inlineStr">
        <is>
          <t>REC-03</t>
        </is>
      </c>
      <c r="C20" s="5" t="inlineStr">
        <is>
          <t>Duplicate BAST number</t>
        </is>
      </c>
      <c r="D20" s="5" t="inlineStr">
        <is>
          <t>BAST {no} is already recorded on this project.</t>
        </is>
      </c>
      <c r="E20" s="5" t="inlineStr">
        <is>
          <t>BAST {no} sudah tercatat di proyek ini.</t>
        </is>
      </c>
    </row>
    <row r="21">
      <c r="A21" s="5" t="inlineStr">
        <is>
          <t>REC-03-E3</t>
        </is>
      </c>
      <c r="B21" s="5" t="inlineStr">
        <is>
          <t>REC-03</t>
        </is>
      </c>
      <c r="C21" s="5" t="inlineStr">
        <is>
          <t>Project not Active</t>
        </is>
      </c>
      <c r="D21" s="5" t="inlineStr">
        <is>
          <t>Only an active project can recognise revenue.</t>
        </is>
      </c>
      <c r="E21" s="5" t="inlineStr">
        <is>
          <t>Hanya proyek aktif yang dapat mengakui pendapatan.</t>
        </is>
      </c>
    </row>
    <row r="22">
      <c r="A22" s="5" t="inlineStr">
        <is>
          <t>REC-04-E1</t>
        </is>
      </c>
      <c r="B22" s="5" t="inlineStr">
        <is>
          <t>REC-04</t>
        </is>
      </c>
      <c r="C22" s="5" t="inlineStr">
        <is>
          <t>Nothing due</t>
        </is>
      </c>
      <c r="D22" s="5" t="inlineStr">
        <is>
          <t>Nothing to recognise — posted revenue already matches % complete.</t>
        </is>
      </c>
      <c r="E22" s="5" t="inlineStr">
        <is>
          <t>Tidak ada yang perlu diakui — pendapatan tercatat sudah sesuai % selesai.</t>
        </is>
      </c>
    </row>
    <row r="23">
      <c r="A23" s="5" t="inlineStr">
        <is>
          <t>REC-04-E2</t>
        </is>
      </c>
      <c r="B23" s="5" t="inlineStr">
        <is>
          <t>REC-04</t>
        </is>
      </c>
      <c r="C23" s="5" t="inlineStr">
        <is>
          <t>No planned units</t>
        </is>
      </c>
      <c r="D23" s="5" t="inlineStr">
        <is>
          <t>Unit-measured Output needs planned units on at least one work package.</t>
        </is>
      </c>
      <c r="E23" s="5" t="inlineStr">
        <is>
          <t>Output berbasis unit memerlukan unit rencana di minimal satu paket kerja.</t>
        </is>
      </c>
    </row>
    <row r="24">
      <c r="A24" s="5" t="inlineStr">
        <is>
          <t>REC-05-E1</t>
        </is>
      </c>
      <c r="B24" s="5" t="inlineStr">
        <is>
          <t>REC-05</t>
        </is>
      </c>
      <c r="C24" s="5" t="inlineStr">
        <is>
          <t>No budget</t>
        </is>
      </c>
      <c r="D24" s="5" t="inlineStr">
        <is>
          <t>Budget not set — % complete can’t be computed for cost-to-cost until a baseline exists.</t>
        </is>
      </c>
      <c r="E24" s="5" t="inlineStr">
        <is>
          <t>Anggaran belum diatur — % selesai metode cost-to-cost belum bisa dihitung sampai baseline tersedia.</t>
        </is>
      </c>
    </row>
    <row r="25">
      <c r="A25" s="5" t="inlineStr">
        <is>
          <t>REC-05-E2</t>
        </is>
      </c>
      <c r="B25" s="5" t="inlineStr">
        <is>
          <t>REC-05</t>
        </is>
      </c>
      <c r="C25" s="5" t="inlineStr">
        <is>
          <t>Cost over budget</t>
        </is>
      </c>
      <c r="D25" s="5" t="inlineStr">
        <is>
          <t>Actual cost is over budget, so % complete is capped at 100%. Review the budget in Budget setup.</t>
        </is>
      </c>
      <c r="E25" s="5" t="inlineStr">
        <is>
          <t>Biaya aktual melebihi anggaran, jadi % selesai dibatasi 100%. Tinjau anggaran di Pengaturan anggaran.</t>
        </is>
      </c>
    </row>
    <row r="26">
      <c r="A26" s="5" t="inlineStr">
        <is>
          <t>REC-06-E1</t>
        </is>
      </c>
      <c r="B26" s="5" t="inlineStr">
        <is>
          <t>REC-06</t>
        </is>
      </c>
      <c r="C26" s="5" t="inlineStr">
        <is>
          <t>Write-down out of range</t>
        </is>
      </c>
      <c r="D26" s="5" t="inlineStr">
        <is>
          <t>A write-down must be less than {standard} and not negative.</t>
        </is>
      </c>
      <c r="E26" s="5" t="inlineStr">
        <is>
          <t>Penurunan harus kurang dari {standard} dan tidak negatif.</t>
        </is>
      </c>
    </row>
    <row r="27">
      <c r="A27" s="5" t="inlineStr">
        <is>
          <t>REC-06-E2</t>
        </is>
      </c>
      <c r="B27" s="5" t="inlineStr">
        <is>
          <t>REC-06</t>
        </is>
      </c>
      <c r="C27" s="5" t="inlineStr">
        <is>
          <t>Write-up not above standard</t>
        </is>
      </c>
      <c r="D27" s="5" t="inlineStr">
        <is>
          <t>A write-up must be more than {standard}.</t>
        </is>
      </c>
      <c r="E27" s="5" t="inlineStr">
        <is>
          <t>Kenaikan harus lebih dari {standard}.</t>
        </is>
      </c>
    </row>
    <row r="28">
      <c r="A28" s="5" t="inlineStr">
        <is>
          <t>REC-06-E3</t>
        </is>
      </c>
      <c r="B28" s="5" t="inlineStr">
        <is>
          <t>REC-06</t>
        </is>
      </c>
      <c r="C28" s="5" t="inlineStr">
        <is>
          <t>Missing reason</t>
        </is>
      </c>
      <c r="D28" s="5" t="inlineStr">
        <is>
          <t>Enter a reason for this write-down or write-up.</t>
        </is>
      </c>
      <c r="E28" s="5" t="inlineStr">
        <is>
          <t>Isi alasan penurunan atau kenaikan ini.</t>
        </is>
      </c>
    </row>
    <row r="29">
      <c r="A29" s="5" t="inlineStr">
        <is>
          <t>REC-07-E1</t>
        </is>
      </c>
      <c r="B29" s="5" t="inlineStr">
        <is>
          <t>REC-07</t>
        </is>
      </c>
      <c r="C29" s="5" t="inlineStr">
        <is>
          <t>Nothing decided</t>
        </is>
      </c>
      <c r="D29" s="5" t="inlineStr">
        <is>
          <t>Decide bill / write-down / write-up on {n} unbilled entries first.</t>
        </is>
      </c>
      <c r="E29" s="5" t="inlineStr">
        <is>
          <t>Putuskan tagih / turunkan / naikkan pada {n} entri yang belum ditagih dulu.</t>
        </is>
      </c>
    </row>
    <row r="30">
      <c r="A30" s="5" t="inlineStr">
        <is>
          <t>REC-08-E1</t>
        </is>
      </c>
      <c r="B30" s="5" t="inlineStr">
        <is>
          <t>REC-08</t>
        </is>
      </c>
      <c r="C30" s="5" t="inlineStr">
        <is>
          <t>Already invoiced</t>
        </is>
      </c>
      <c r="D30" s="5" t="inlineStr">
        <is>
          <t>This term is already invoiced.</t>
        </is>
      </c>
      <c r="E30" s="5" t="inlineStr">
        <is>
          <t>Termin ini sudah ditagih.</t>
        </is>
      </c>
    </row>
    <row r="31">
      <c r="A31" s="5" t="inlineStr">
        <is>
          <t>REC-08-E2</t>
        </is>
      </c>
      <c r="B31" s="5" t="inlineStr">
        <is>
          <t>REC-08</t>
        </is>
      </c>
      <c r="C31" s="5" t="inlineStr">
        <is>
          <t>Draft project</t>
        </is>
      </c>
      <c r="D31" s="5" t="inlineStr">
        <is>
          <t>Approve the project before billing.</t>
        </is>
      </c>
      <c r="E31" s="5" t="inlineStr">
        <is>
          <t>Setujui proyek sebelum menagih.</t>
        </is>
      </c>
    </row>
    <row r="32">
      <c r="A32" s="5" t="inlineStr">
        <is>
          <t>REC-08-E3</t>
        </is>
      </c>
      <c r="B32" s="5" t="inlineStr">
        <is>
          <t>REC-08</t>
        </is>
      </c>
      <c r="C32" s="5" t="inlineStr">
        <is>
          <t>Trigger not met (warning)</t>
        </is>
      </c>
      <c r="D32" s="5" t="inlineStr">
        <is>
          <t>This term’s trigger isn’t met yet ({trigger}). You can still bill it if the customer agreed.</t>
        </is>
      </c>
      <c r="E32" s="5" t="inlineStr">
        <is>
          <t>Pemicu termin ini belum terpenuhi ({trigger}). Anda tetap dapat menagihnya jika pelanggan setuju.</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0" customWidth="1" min="2" max="2"/>
    <col width="90" customWidth="1" min="3" max="3"/>
    <col width="12" customWidth="1" min="4" max="4"/>
  </cols>
  <sheetData>
    <row r="1">
      <c r="A1" s="4" t="inlineStr">
        <is>
          <t>Dependency ID</t>
        </is>
      </c>
      <c r="B1" s="4" t="inlineStr">
        <is>
          <t>Story</t>
        </is>
      </c>
      <c r="C1" s="4" t="inlineStr">
        <is>
          <t>Depends on</t>
        </is>
      </c>
      <c r="D1" s="4" t="inlineStr">
        <is>
          <t>Hard / Soft</t>
        </is>
      </c>
    </row>
    <row r="2">
      <c r="A2" s="5" t="inlineStr">
        <is>
          <t>PW-01-D1</t>
        </is>
      </c>
      <c r="B2" s="5" t="inlineStr">
        <is>
          <t>PW-01</t>
        </is>
      </c>
      <c r="C2" s="5" t="inlineStr">
        <is>
          <t>Phase entity and Structure tab (UI phase 1)</t>
        </is>
      </c>
      <c r="D2" s="5" t="inlineStr">
        <is>
          <t>Hard</t>
        </is>
      </c>
    </row>
    <row r="3">
      <c r="A3" s="5" t="inlineStr">
        <is>
          <t>PW-01-D2</t>
        </is>
      </c>
      <c r="B3" s="5" t="inlineStr">
        <is>
          <t>PW-01</t>
        </is>
      </c>
      <c r="C3" s="5" t="inlineStr">
        <is>
          <t>Audit writer (UI phase 0)</t>
        </is>
      </c>
      <c r="D3" s="5" t="inlineStr">
        <is>
          <t>Hard</t>
        </is>
      </c>
    </row>
    <row r="4">
      <c r="A4" s="5" t="inlineStr">
        <is>
          <t>PW-02-D1</t>
        </is>
      </c>
      <c r="B4" s="5" t="inlineStr">
        <is>
          <t>PW-02</t>
        </is>
      </c>
      <c r="C4" s="5" t="inlineStr">
        <is>
          <t>PW-01</t>
        </is>
      </c>
      <c r="D4" s="5" t="inlineStr">
        <is>
          <t>Hard</t>
        </is>
      </c>
    </row>
    <row r="5">
      <c r="A5" s="5" t="inlineStr">
        <is>
          <t>PW-02-D2</t>
        </is>
      </c>
      <c r="B5" s="5" t="inlineStr">
        <is>
          <t>PW-02</t>
        </is>
      </c>
      <c r="C5" s="5" t="inlineStr">
        <is>
          <t>Project approval gate (UI phase 2, Story 7)</t>
        </is>
      </c>
      <c r="D5" s="5" t="inlineStr">
        <is>
          <t>Soft</t>
        </is>
      </c>
    </row>
    <row r="6">
      <c r="A6" s="5" t="inlineStr">
        <is>
          <t>PW-03-D1</t>
        </is>
      </c>
      <c r="B6" s="5" t="inlineStr">
        <is>
          <t>PW-03</t>
        </is>
      </c>
      <c r="C6" s="5" t="inlineStr">
        <is>
          <t>PW-01</t>
        </is>
      </c>
      <c r="D6" s="5" t="inlineStr">
        <is>
          <t>Hard</t>
        </is>
      </c>
    </row>
    <row r="7">
      <c r="A7" s="5" t="inlineStr">
        <is>
          <t>PW-03-D2</t>
        </is>
      </c>
      <c r="B7" s="5" t="inlineStr">
        <is>
          <t>PW-03</t>
        </is>
      </c>
      <c r="C7" s="5" t="inlineStr">
        <is>
          <t>Approved RAB per phase — from Budget setup (UI phase 2) or manual entry</t>
        </is>
      </c>
      <c r="D7" s="5" t="inlineStr">
        <is>
          <t>Soft</t>
        </is>
      </c>
    </row>
    <row r="8">
      <c r="A8" s="5" t="inlineStr">
        <is>
          <t>PW-04-D1</t>
        </is>
      </c>
      <c r="B8" s="5" t="inlineStr">
        <is>
          <t>PW-04</t>
        </is>
      </c>
      <c r="C8" s="5" t="inlineStr">
        <is>
          <t>PW-02</t>
        </is>
      </c>
      <c r="D8" s="5" t="inlineStr">
        <is>
          <t>Hard</t>
        </is>
      </c>
    </row>
    <row r="9">
      <c r="A9" s="5" t="inlineStr">
        <is>
          <t>PW-04-D2</t>
        </is>
      </c>
      <c r="B9" s="5" t="inlineStr">
        <is>
          <t>PW-04</t>
        </is>
      </c>
      <c r="C9" s="5" t="inlineStr">
        <is>
          <t>REC-03 (verified state)</t>
        </is>
      </c>
      <c r="D9" s="5" t="inlineStr">
        <is>
          <t>Hard</t>
        </is>
      </c>
    </row>
    <row r="10">
      <c r="A10" s="5" t="inlineStr">
        <is>
          <t>PW-04-D3</t>
        </is>
      </c>
      <c r="B10" s="5" t="inlineStr">
        <is>
          <t>PW-04</t>
        </is>
      </c>
      <c r="C10" s="5" t="inlineStr">
        <is>
          <t>Change order approval (batch 5, Story 12) raises the reweight flag</t>
        </is>
      </c>
      <c r="D10" s="5" t="inlineStr">
        <is>
          <t>Soft</t>
        </is>
      </c>
    </row>
    <row r="11">
      <c r="A11" s="5" t="inlineStr">
        <is>
          <t>REC-01-D1</t>
        </is>
      </c>
      <c r="B11" s="5" t="inlineStr">
        <is>
          <t>REC-01</t>
        </is>
      </c>
      <c r="C11" s="5" t="inlineStr">
        <is>
          <t>Create flow (UI phase 1, Story 1)</t>
        </is>
      </c>
      <c r="D11" s="5" t="inlineStr">
        <is>
          <t>Hard</t>
        </is>
      </c>
    </row>
    <row r="12">
      <c r="A12" s="5" t="inlineStr">
        <is>
          <t>REC-01-D2</t>
        </is>
      </c>
      <c r="B12" s="5" t="inlineStr">
        <is>
          <t>REC-01</t>
        </is>
      </c>
      <c r="C12" s="5" t="inlineStr">
        <is>
          <t>Approval gate (UI phase 2, Story 7)</t>
        </is>
      </c>
      <c r="D12" s="5" t="inlineStr">
        <is>
          <t>Hard</t>
        </is>
      </c>
    </row>
    <row r="13">
      <c r="A13" s="5" t="inlineStr">
        <is>
          <t>REC-01-D3</t>
        </is>
      </c>
      <c r="B13" s="5" t="inlineStr">
        <is>
          <t>REC-01</t>
        </is>
      </c>
      <c r="C13" s="5" t="inlineStr">
        <is>
          <t>Audit writer</t>
        </is>
      </c>
      <c r="D13" s="5" t="inlineStr">
        <is>
          <t>Hard</t>
        </is>
      </c>
    </row>
    <row r="14">
      <c r="A14" s="5" t="inlineStr">
        <is>
          <t>REC-02-D1</t>
        </is>
      </c>
      <c r="B14" s="5" t="inlineStr">
        <is>
          <t>REC-02</t>
        </is>
      </c>
      <c r="C14" s="5" t="inlineStr">
        <is>
          <t>GL posting spec for recognition and billing (G1) — estimation-blocking</t>
        </is>
      </c>
      <c r="D14" s="5" t="inlineStr">
        <is>
          <t>Hard</t>
        </is>
      </c>
    </row>
    <row r="15">
      <c r="A15" s="5" t="inlineStr">
        <is>
          <t>REC-02-D2</t>
        </is>
      </c>
      <c r="B15" s="5" t="inlineStr">
        <is>
          <t>REC-02</t>
        </is>
      </c>
      <c r="C15" s="5" t="inlineStr">
        <is>
          <t>Sales invoice module (invoice records)</t>
        </is>
      </c>
      <c r="D15" s="5" t="inlineStr">
        <is>
          <t>Hard</t>
        </is>
      </c>
    </row>
    <row r="16">
      <c r="A16" s="5" t="inlineStr">
        <is>
          <t>REC-02-D3</t>
        </is>
      </c>
      <c r="B16" s="5" t="inlineStr">
        <is>
          <t>REC-02</t>
        </is>
      </c>
      <c r="C16" s="5" t="inlineStr">
        <is>
          <t>Accounting period status</t>
        </is>
      </c>
      <c r="D16" s="5" t="inlineStr">
        <is>
          <t>Hard</t>
        </is>
      </c>
    </row>
    <row r="17">
      <c r="A17" s="5" t="inlineStr">
        <is>
          <t>REC-02-D4</t>
        </is>
      </c>
      <c r="B17" s="5" t="inlineStr">
        <is>
          <t>REC-02</t>
        </is>
      </c>
      <c r="C17" s="5" t="inlineStr">
        <is>
          <t>Audit writer</t>
        </is>
      </c>
      <c r="D17" s="5" t="inlineStr">
        <is>
          <t>Hard</t>
        </is>
      </c>
    </row>
    <row r="18">
      <c r="A18" s="5" t="inlineStr">
        <is>
          <t>REC-03-D1</t>
        </is>
      </c>
      <c r="B18" s="5" t="inlineStr">
        <is>
          <t>REC-03</t>
        </is>
      </c>
      <c r="C18" s="5" t="inlineStr">
        <is>
          <t>PW-02, PW-04</t>
        </is>
      </c>
      <c r="D18" s="5" t="inlineStr">
        <is>
          <t>Hard</t>
        </is>
      </c>
    </row>
    <row r="19">
      <c r="A19" s="5" t="inlineStr">
        <is>
          <t>REC-03-D2</t>
        </is>
      </c>
      <c r="B19" s="5" t="inlineStr">
        <is>
          <t>REC-03</t>
        </is>
      </c>
      <c r="C19" s="5" t="inlineStr">
        <is>
          <t>REC-02</t>
        </is>
      </c>
      <c r="D19" s="5" t="inlineStr">
        <is>
          <t>Hard</t>
        </is>
      </c>
    </row>
    <row r="20">
      <c r="A20" s="5" t="inlineStr">
        <is>
          <t>REC-03-D3</t>
        </is>
      </c>
      <c r="B20" s="5" t="inlineStr">
        <is>
          <t>REC-03</t>
        </is>
      </c>
      <c r="C20" s="5" t="inlineStr">
        <is>
          <t>REC-01 (Active + locked)</t>
        </is>
      </c>
      <c r="D20" s="5" t="inlineStr">
        <is>
          <t>Hard</t>
        </is>
      </c>
    </row>
    <row r="21">
      <c r="A21" s="5" t="inlineStr">
        <is>
          <t>REC-04-D1</t>
        </is>
      </c>
      <c r="B21" s="5" t="inlineStr">
        <is>
          <t>REC-04</t>
        </is>
      </c>
      <c r="C21" s="5" t="inlineStr">
        <is>
          <t>REC-02</t>
        </is>
      </c>
      <c r="D21" s="5" t="inlineStr">
        <is>
          <t>Hard</t>
        </is>
      </c>
    </row>
    <row r="22">
      <c r="A22" s="5" t="inlineStr">
        <is>
          <t>REC-04-D2</t>
        </is>
      </c>
      <c r="B22" s="5" t="inlineStr">
        <is>
          <t>REC-04</t>
        </is>
      </c>
      <c r="C22" s="5" t="inlineStr">
        <is>
          <t>WO completion confirms units (Production module)</t>
        </is>
      </c>
      <c r="D22" s="5" t="inlineStr">
        <is>
          <t>Hard</t>
        </is>
      </c>
    </row>
    <row r="23">
      <c r="A23" s="5" t="inlineStr">
        <is>
          <t>REC-04-D3</t>
        </is>
      </c>
      <c r="B23" s="5" t="inlineStr">
        <is>
          <t>REC-04</t>
        </is>
      </c>
      <c r="C23" s="5" t="inlineStr">
        <is>
          <t>BAST quantity for service work packages</t>
        </is>
      </c>
      <c r="D23" s="5" t="inlineStr">
        <is>
          <t>Soft</t>
        </is>
      </c>
    </row>
    <row r="24">
      <c r="A24" s="5" t="inlineStr">
        <is>
          <t>REC-05-D1</t>
        </is>
      </c>
      <c r="B24" s="5" t="inlineStr">
        <is>
          <t>REC-05</t>
        </is>
      </c>
      <c r="C24" s="5" t="inlineStr">
        <is>
          <t>Budget setup baseline (UI phase 2, Story 2)</t>
        </is>
      </c>
      <c r="D24" s="5" t="inlineStr">
        <is>
          <t>Hard</t>
        </is>
      </c>
    </row>
    <row r="25">
      <c r="A25" s="5" t="inlineStr">
        <is>
          <t>REC-05-D2</t>
        </is>
      </c>
      <c r="B25" s="5" t="inlineStr">
        <is>
          <t>REC-05</t>
        </is>
      </c>
      <c r="C25" s="5" t="inlineStr">
        <is>
          <t>Cost rollup (UI phase 5, Story 14) — interim: WO actuals + posted documents</t>
        </is>
      </c>
      <c r="D25" s="5" t="inlineStr">
        <is>
          <t>Soft</t>
        </is>
      </c>
    </row>
    <row r="26">
      <c r="A26" s="5" t="inlineStr">
        <is>
          <t>REC-05-D3</t>
        </is>
      </c>
      <c r="B26" s="5" t="inlineStr">
        <is>
          <t>REC-05</t>
        </is>
      </c>
      <c r="C26" s="5" t="inlineStr">
        <is>
          <t>REC-02</t>
        </is>
      </c>
      <c r="D26" s="5" t="inlineStr">
        <is>
          <t>Hard</t>
        </is>
      </c>
    </row>
    <row r="27">
      <c r="A27" s="5" t="inlineStr">
        <is>
          <t>REC-06-D1</t>
        </is>
      </c>
      <c r="B27" s="5" t="inlineStr">
        <is>
          <t>REC-06</t>
        </is>
      </c>
      <c r="C27" s="5" t="inlineStr">
        <is>
          <t>Timesheet module provides entries with project line, hours and rates</t>
        </is>
      </c>
      <c r="D27" s="5" t="inlineStr">
        <is>
          <t>Hard</t>
        </is>
      </c>
    </row>
    <row r="28">
      <c r="A28" s="5" t="inlineStr">
        <is>
          <t>REC-06-D2</t>
        </is>
      </c>
      <c r="B28" s="5" t="inlineStr">
        <is>
          <t>REC-06</t>
        </is>
      </c>
      <c r="C28" s="5" t="inlineStr">
        <is>
          <t>REC-02</t>
        </is>
      </c>
      <c r="D28" s="5" t="inlineStr">
        <is>
          <t>Hard</t>
        </is>
      </c>
    </row>
    <row r="29">
      <c r="A29" s="5" t="inlineStr">
        <is>
          <t>REC-07-D1</t>
        </is>
      </c>
      <c r="B29" s="5" t="inlineStr">
        <is>
          <t>REC-07</t>
        </is>
      </c>
      <c r="C29" s="5" t="inlineStr">
        <is>
          <t>REC-06</t>
        </is>
      </c>
      <c r="D29" s="5" t="inlineStr">
        <is>
          <t>Hard</t>
        </is>
      </c>
    </row>
    <row r="30">
      <c r="A30" s="5" t="inlineStr">
        <is>
          <t>REC-07-D2</t>
        </is>
      </c>
      <c r="B30" s="5" t="inlineStr">
        <is>
          <t>REC-07</t>
        </is>
      </c>
      <c r="C30" s="5" t="inlineStr">
        <is>
          <t>Sales invoice module</t>
        </is>
      </c>
      <c r="D30" s="5" t="inlineStr">
        <is>
          <t>Hard</t>
        </is>
      </c>
    </row>
    <row r="31">
      <c r="A31" s="5" t="inlineStr">
        <is>
          <t>REC-08-D1</t>
        </is>
      </c>
      <c r="B31" s="5" t="inlineStr">
        <is>
          <t>REC-08</t>
        </is>
      </c>
      <c r="C31" s="5" t="inlineStr">
        <is>
          <t>Contract/SO module exposes billing terms (OQ11)</t>
        </is>
      </c>
      <c r="D31" s="5" t="inlineStr">
        <is>
          <t>Hard</t>
        </is>
      </c>
    </row>
    <row r="32">
      <c r="A32" s="5" t="inlineStr">
        <is>
          <t>REC-08-D2</t>
        </is>
      </c>
      <c r="B32" s="5" t="inlineStr">
        <is>
          <t>REC-08</t>
        </is>
      </c>
      <c r="C32" s="5" t="inlineStr">
        <is>
          <t>Sales invoice module</t>
        </is>
      </c>
      <c r="D32" s="5" t="inlineStr">
        <is>
          <t>Hard</t>
        </is>
      </c>
    </row>
    <row r="33">
      <c r="A33" s="5" t="inlineStr">
        <is>
          <t>REC-08-D3</t>
        </is>
      </c>
      <c r="B33" s="5" t="inlineStr">
        <is>
          <t>REC-08</t>
        </is>
      </c>
      <c r="C33" s="5" t="inlineStr">
        <is>
          <t>REC-02</t>
        </is>
      </c>
      <c r="D33" s="5" t="inlineStr">
        <is>
          <t>Hard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2" customWidth="1" min="3" max="3"/>
    <col width="100" customWidth="1" min="4" max="4"/>
  </cols>
  <sheetData>
    <row r="1">
      <c r="A1" s="4" t="inlineStr">
        <is>
          <t>Signal ID</t>
        </is>
      </c>
      <c r="B1" s="4" t="inlineStr">
        <is>
          <t>Story</t>
        </is>
      </c>
      <c r="C1" s="4" t="inlineStr">
        <is>
          <t>Type</t>
        </is>
      </c>
      <c r="D1" s="4" t="inlineStr">
        <is>
          <t>Event / metric / log</t>
        </is>
      </c>
    </row>
    <row r="2">
      <c r="A2" s="5" t="inlineStr">
        <is>
          <t>PW-01-O1</t>
        </is>
      </c>
      <c r="B2" s="5" t="inlineStr">
        <is>
          <t>PW-01</t>
        </is>
      </c>
      <c r="C2" s="5" t="inlineStr">
        <is>
          <t>Mixpanel</t>
        </is>
      </c>
      <c r="D2" s="5" t="inlineStr">
        <is>
          <t>project_weight_edited {project_id, phase_id, from, to, source: inline|drawer}</t>
        </is>
      </c>
    </row>
    <row r="3">
      <c r="A3" s="5" t="inlineStr">
        <is>
          <t>PW-01-O2</t>
        </is>
      </c>
      <c r="B3" s="5" t="inlineStr">
        <is>
          <t>PW-01</t>
        </is>
      </c>
      <c r="C3" s="5" t="inlineStr">
        <is>
          <t>Audit</t>
        </is>
      </c>
      <c r="D3" s="5" t="inlineStr">
        <is>
          <t>kind=structure: “Progress weight on phase {name}: {from} → {to}”</t>
        </is>
      </c>
    </row>
    <row r="4">
      <c r="A4" s="5" t="inlineStr">
        <is>
          <t>PW-01-O3</t>
        </is>
      </c>
      <c r="B4" s="5" t="inlineStr">
        <is>
          <t>PW-01</t>
        </is>
      </c>
      <c r="C4" s="5" t="inlineStr">
        <is>
          <t>Metric</t>
        </is>
      </c>
      <c r="D4" s="5" t="inlineStr">
        <is>
          <t>Save latency p95 ≤ 300 ms (OQ18 proposal)</t>
        </is>
      </c>
    </row>
    <row r="5">
      <c r="A5" s="5" t="inlineStr">
        <is>
          <t>PW-02-O1</t>
        </is>
      </c>
      <c r="B5" s="5" t="inlineStr">
        <is>
          <t>PW-02</t>
        </is>
      </c>
      <c r="C5" s="5" t="inlineStr">
        <is>
          <t>Mixpanel</t>
        </is>
      </c>
      <c r="D5" s="5" t="inlineStr">
        <is>
          <t>project_weight_gate_blocked {project_id, total, action: verify|approve}</t>
        </is>
      </c>
    </row>
    <row r="6">
      <c r="A6" s="5" t="inlineStr">
        <is>
          <t>PW-02-O2</t>
        </is>
      </c>
      <c r="B6" s="5" t="inlineStr">
        <is>
          <t>PW-02</t>
        </is>
      </c>
      <c r="C6" s="5" t="inlineStr">
        <is>
          <t>Metric</t>
        </is>
      </c>
      <c r="D6" s="5" t="inlineStr">
        <is>
          <t>Count of blocked verifications per week — a proxy for weight hygiene</t>
        </is>
      </c>
    </row>
    <row r="7">
      <c r="A7" s="5" t="inlineStr">
        <is>
          <t>PW-03-O1</t>
        </is>
      </c>
      <c r="B7" s="5" t="inlineStr">
        <is>
          <t>PW-03</t>
        </is>
      </c>
      <c r="C7" s="5" t="inlineStr">
        <is>
          <t>Mixpanel</t>
        </is>
      </c>
      <c r="D7" s="5" t="inlineStr">
        <is>
          <t>project_weight_suggestion_applied {project_id, phases_changed}</t>
        </is>
      </c>
    </row>
    <row r="8">
      <c r="A8" s="5" t="inlineStr">
        <is>
          <t>PW-03-O2</t>
        </is>
      </c>
      <c r="B8" s="5" t="inlineStr">
        <is>
          <t>PW-03</t>
        </is>
      </c>
      <c r="C8" s="5" t="inlineStr">
        <is>
          <t>Audit</t>
        </is>
      </c>
      <c r="D8" s="5" t="inlineStr">
        <is>
          <t>kind=structure: “Applied suggested progress weights (phase RAB ÷ total RAB)”</t>
        </is>
      </c>
    </row>
    <row r="9">
      <c r="A9" s="5" t="inlineStr">
        <is>
          <t>PW-04-O1</t>
        </is>
      </c>
      <c r="B9" s="5" t="inlineStr">
        <is>
          <t>PW-04</t>
        </is>
      </c>
      <c r="C9" s="5" t="inlineStr">
        <is>
          <t>Mixpanel</t>
        </is>
      </c>
      <c r="D9" s="5" t="inlineStr">
        <is>
          <t>project_weights_reconfirmed {project_id, contract_value}</t>
        </is>
      </c>
    </row>
    <row r="10">
      <c r="A10" s="5" t="inlineStr">
        <is>
          <t>PW-04-O2</t>
        </is>
      </c>
      <c r="B10" s="5" t="inlineStr">
        <is>
          <t>PW-04</t>
        </is>
      </c>
      <c r="C10" s="5" t="inlineStr">
        <is>
          <t>Audit</t>
        </is>
      </c>
      <c r="D10" s="5" t="inlineStr">
        <is>
          <t>kind=structure: deletions, reconfirm with new contract value</t>
        </is>
      </c>
    </row>
    <row r="11">
      <c r="A11" s="5" t="inlineStr">
        <is>
          <t>REC-01-O1</t>
        </is>
      </c>
      <c r="B11" s="5" t="inlineStr">
        <is>
          <t>REC-01</t>
        </is>
      </c>
      <c r="C11" s="5" t="inlineStr">
        <is>
          <t>Mixpanel</t>
        </is>
      </c>
      <c r="D11" s="5" t="inlineStr">
        <is>
          <t>project_method_locked {project_id, method, measure}; project_method_reopened {project_id}</t>
        </is>
      </c>
    </row>
    <row r="12">
      <c r="A12" s="5" t="inlineStr">
        <is>
          <t>REC-01-O2</t>
        </is>
      </c>
      <c r="B12" s="5" t="inlineStr">
        <is>
          <t>REC-01</t>
        </is>
      </c>
      <c r="C12" s="5" t="inlineStr">
        <is>
          <t>Audit</t>
        </is>
      </c>
      <c r="D12" s="5" t="inlineStr">
        <is>
          <t>kind=approval and kind=method_reopen with reason</t>
        </is>
      </c>
    </row>
    <row r="13">
      <c r="A13" s="5" t="inlineStr">
        <is>
          <t>REC-02-O1</t>
        </is>
      </c>
      <c r="B13" s="5" t="inlineStr">
        <is>
          <t>REC-02</t>
        </is>
      </c>
      <c r="C13" s="5" t="inlineStr">
        <is>
          <t>Log</t>
        </is>
      </c>
      <c r="D13" s="5" t="inlineStr">
        <is>
          <t>posting_id, project_id, kind, amount, journal_id — one line per posting</t>
        </is>
      </c>
    </row>
    <row r="14">
      <c r="A14" s="5" t="inlineStr">
        <is>
          <t>REC-02-O2</t>
        </is>
      </c>
      <c r="B14" s="5" t="inlineStr">
        <is>
          <t>REC-02</t>
        </is>
      </c>
      <c r="C14" s="5" t="inlineStr">
        <is>
          <t>Metric</t>
        </is>
      </c>
      <c r="D14" s="5" t="inlineStr">
        <is>
          <t>Tab load p95 ≤ 1,5 s (OQ18); posting write p95 ≤ 500 ms</t>
        </is>
      </c>
    </row>
    <row r="15">
      <c r="A15" s="5" t="inlineStr">
        <is>
          <t>REC-02-O3</t>
        </is>
      </c>
      <c r="B15" s="5" t="inlineStr">
        <is>
          <t>REC-02</t>
        </is>
      </c>
      <c r="C15" s="5" t="inlineStr">
        <is>
          <t>Alert</t>
        </is>
      </c>
      <c r="D15" s="5" t="inlineStr">
        <is>
          <t>Any posting where the GL journal and the project posting disagree (nightly reconciliation)</t>
        </is>
      </c>
    </row>
    <row r="16">
      <c r="A16" s="5" t="inlineStr">
        <is>
          <t>REC-03-O1</t>
        </is>
      </c>
      <c r="B16" s="5" t="inlineStr">
        <is>
          <t>REC-03</t>
        </is>
      </c>
      <c r="C16" s="5" t="inlineStr">
        <is>
          <t>Mixpanel</t>
        </is>
      </c>
      <c r="D16" s="5" t="inlineStr">
        <is>
          <t>project_phase_verified {project_id, phase_id, weight, amount}</t>
        </is>
      </c>
    </row>
    <row r="17">
      <c r="A17" s="5" t="inlineStr">
        <is>
          <t>REC-03-O2</t>
        </is>
      </c>
      <c r="B17" s="5" t="inlineStr">
        <is>
          <t>REC-03</t>
        </is>
      </c>
      <c r="C17" s="5" t="inlineStr">
        <is>
          <t>Audit</t>
        </is>
      </c>
      <c r="D17" s="5" t="inlineStr">
        <is>
          <t>kind=bast and kind=recognition, refNo = BAST and REC numbers</t>
        </is>
      </c>
    </row>
    <row r="18">
      <c r="A18" s="5" t="inlineStr">
        <is>
          <t>REC-04-O1</t>
        </is>
      </c>
      <c r="B18" s="5" t="inlineStr">
        <is>
          <t>REC-04</t>
        </is>
      </c>
      <c r="C18" s="5" t="inlineStr">
        <is>
          <t>Mixpanel</t>
        </is>
      </c>
      <c r="D18" s="5" t="inlineStr">
        <is>
          <t>project_recognition_run {project_id, method: unit, pct, amount}</t>
        </is>
      </c>
    </row>
    <row r="19">
      <c r="A19" s="5" t="inlineStr">
        <is>
          <t>REC-04-O2</t>
        </is>
      </c>
      <c r="B19" s="5" t="inlineStr">
        <is>
          <t>REC-04</t>
        </is>
      </c>
      <c r="C19" s="5" t="inlineStr">
        <is>
          <t>Audit</t>
        </is>
      </c>
      <c r="D19" s="5" t="inlineStr">
        <is>
          <t>kind=recognition: “Recognition run at {pct} complete — recognised {amount}”</t>
        </is>
      </c>
    </row>
    <row r="20">
      <c r="A20" s="5" t="inlineStr">
        <is>
          <t>REC-05-O1</t>
        </is>
      </c>
      <c r="B20" s="5" t="inlineStr">
        <is>
          <t>REC-05</t>
        </is>
      </c>
      <c r="C20" s="5" t="inlineStr">
        <is>
          <t>Mixpanel</t>
        </is>
      </c>
      <c r="D20" s="5" t="inlineStr">
        <is>
          <t>project_recognition_run {project_id, method: input, pct, amount}</t>
        </is>
      </c>
    </row>
    <row r="21">
      <c r="A21" s="5" t="inlineStr">
        <is>
          <t>REC-05-O2</t>
        </is>
      </c>
      <c r="B21" s="5" t="inlineStr">
        <is>
          <t>REC-05</t>
        </is>
      </c>
      <c r="C21" s="5" t="inlineStr">
        <is>
          <t>Metric</t>
        </is>
      </c>
      <c r="D21" s="5" t="inlineStr">
        <is>
          <t>% of Input projects with cost &gt; budget (early warning)</t>
        </is>
      </c>
    </row>
    <row r="22">
      <c r="A22" s="5" t="inlineStr">
        <is>
          <t>REC-06-O1</t>
        </is>
      </c>
      <c r="B22" s="5" t="inlineStr">
        <is>
          <t>REC-06</t>
        </is>
      </c>
      <c r="C22" s="5" t="inlineStr">
        <is>
          <t>Mixpanel</t>
        </is>
      </c>
      <c r="D22" s="5" t="inlineStr">
        <is>
          <t>project_tm_decision_set {project_id, entry_id, decision, delta}</t>
        </is>
      </c>
    </row>
    <row r="23">
      <c r="A23" s="5" t="inlineStr">
        <is>
          <t>REC-06-O2</t>
        </is>
      </c>
      <c r="B23" s="5" t="inlineStr">
        <is>
          <t>REC-06</t>
        </is>
      </c>
      <c r="C23" s="5" t="inlineStr">
        <is>
          <t>Audit</t>
        </is>
      </c>
      <c r="D23" s="5" t="inlineStr">
        <is>
          <t>kind=billing for write-down / write-up with reason</t>
        </is>
      </c>
    </row>
    <row r="24">
      <c r="A24" s="5" t="inlineStr">
        <is>
          <t>REC-07-O1</t>
        </is>
      </c>
      <c r="B24" s="5" t="inlineStr">
        <is>
          <t>REC-07</t>
        </is>
      </c>
      <c r="C24" s="5" t="inlineStr">
        <is>
          <t>Mixpanel</t>
        </is>
      </c>
      <c r="D24" s="5" t="inlineStr">
        <is>
          <t>project_tm_invoiced {project_id, entries, amount}</t>
        </is>
      </c>
    </row>
    <row r="25">
      <c r="A25" s="5" t="inlineStr">
        <is>
          <t>REC-07-O2</t>
        </is>
      </c>
      <c r="B25" s="5" t="inlineStr">
        <is>
          <t>REC-07</t>
        </is>
      </c>
      <c r="C25" s="5" t="inlineStr">
        <is>
          <t>Audit</t>
        </is>
      </c>
      <c r="D25" s="5" t="inlineStr">
        <is>
          <t>kind=billing: “T&amp;M invoice {no} — {n} entries, {amount}”</t>
        </is>
      </c>
    </row>
    <row r="26">
      <c r="A26" s="5" t="inlineStr">
        <is>
          <t>REC-08-O1</t>
        </is>
      </c>
      <c r="B26" s="5" t="inlineStr">
        <is>
          <t>REC-08</t>
        </is>
      </c>
      <c r="C26" s="5" t="inlineStr">
        <is>
          <t>Mixpanel</t>
        </is>
      </c>
      <c r="D26" s="5" t="inlineStr">
        <is>
          <t>project_term_invoice_issued {project_id, term_id, amount, trigger_met}</t>
        </is>
      </c>
    </row>
    <row r="27">
      <c r="A27" s="5" t="inlineStr">
        <is>
          <t>REC-08-O2</t>
        </is>
      </c>
      <c r="B27" s="5" t="inlineStr">
        <is>
          <t>REC-08</t>
        </is>
      </c>
      <c r="C27" s="5" t="inlineStr">
        <is>
          <t>Audit</t>
        </is>
      </c>
      <c r="D27" s="5" t="inlineStr">
        <is>
          <t>kind=billing: “Issued term invoice {no} — {term} ({amount}). No revenue recognised.”</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90" customWidth="1" min="3" max="3"/>
    <col width="26" customWidth="1" min="4" max="4"/>
  </cols>
  <sheetData>
    <row r="1">
      <c r="A1" s="4" t="inlineStr">
        <is>
          <t>PRD criterion</t>
        </is>
      </c>
      <c r="B1" s="4" t="inlineStr">
        <is>
          <t>Source</t>
        </is>
      </c>
      <c r="C1" s="4" t="inlineStr">
        <is>
          <t>PRD text</t>
        </is>
      </c>
      <c r="D1" s="4" t="inlineStr">
        <is>
          <t>Covered by</t>
        </is>
      </c>
    </row>
    <row r="2">
      <c r="A2" s="5" t="inlineStr">
        <is>
          <t>S8-1</t>
        </is>
      </c>
      <c r="B2" s="5" t="inlineStr">
        <is>
          <t>8</t>
        </is>
      </c>
      <c r="C2" s="5" t="inlineStr">
        <is>
          <t>T&amp;M: each unbilled entry carries a bill / write-down / write-up decision before invoicing</t>
        </is>
      </c>
      <c r="D2" s="5" t="inlineStr">
        <is>
          <t>REC-06, REC-07</t>
        </is>
      </c>
    </row>
    <row r="3">
      <c r="A3" s="5" t="inlineStr">
        <is>
          <t>S8-2</t>
        </is>
      </c>
      <c r="B3" s="5" t="inlineStr">
        <is>
          <t>8</t>
        </is>
      </c>
      <c r="C3" s="5" t="inlineStr">
        <is>
          <t>Input: % complete = actual cost ÷ budget, applied to contract value, recalculating as cost posts</t>
        </is>
      </c>
      <c r="D3" s="5" t="inlineStr">
        <is>
          <t>REC-05</t>
        </is>
      </c>
    </row>
    <row r="4">
      <c r="A4" s="5" t="inlineStr">
        <is>
          <t>S8-3</t>
        </is>
      </c>
      <c r="B4" s="5" t="inlineStr">
        <is>
          <t>8</t>
        </is>
      </c>
      <c r="C4" s="5" t="inlineStr">
        <is>
          <t>Output · milestone: % complete = sum of achieved phases’ weights</t>
        </is>
      </c>
      <c r="D4" s="5" t="inlineStr">
        <is>
          <t>REC-03, PW-02</t>
        </is>
      </c>
    </row>
    <row r="5">
      <c r="A5" s="5" t="inlineStr">
        <is>
          <t>S8-4</t>
        </is>
      </c>
      <c r="B5" s="5" t="inlineStr">
        <is>
          <t>8</t>
        </is>
      </c>
      <c r="C5" s="5" t="inlineStr">
        <is>
          <t>Output · unit: % complete = confirmed ÷ planned units across work packages</t>
        </is>
      </c>
      <c r="D5" s="5" t="inlineStr">
        <is>
          <t>REC-04</t>
        </is>
      </c>
    </row>
    <row r="6">
      <c r="A6" s="5" t="inlineStr">
        <is>
          <t>S8-5</t>
        </is>
      </c>
      <c r="B6" s="5" t="inlineStr">
        <is>
          <t>8</t>
        </is>
      </c>
      <c r="C6" s="5" t="inlineStr">
        <is>
          <t>One method and one measure per project, locked at approval, no mixing</t>
        </is>
      </c>
      <c r="D6" s="5" t="inlineStr">
        <is>
          <t>REC-01</t>
        </is>
      </c>
    </row>
    <row r="7">
      <c r="A7" s="5" t="inlineStr">
        <is>
          <t>S8-6</t>
        </is>
      </c>
      <c r="B7" s="5" t="inlineStr">
        <is>
          <t>8</t>
        </is>
      </c>
      <c r="C7" s="5" t="inlineStr">
        <is>
          <t>Recognised and billed shown separately with WIP as the reconciling balance</t>
        </is>
      </c>
      <c r="D7" s="5" t="inlineStr">
        <is>
          <t>REC-02</t>
        </is>
      </c>
    </row>
    <row r="8">
      <c r="A8" s="5" t="inlineStr">
        <is>
          <t>S8-7</t>
        </is>
      </c>
      <c r="B8" s="5" t="inlineStr">
        <is>
          <t>8</t>
        </is>
      </c>
      <c r="C8" s="5" t="inlineStr">
        <is>
          <t>Verifying progress does not issue an invoice in the same posting (P1)</t>
        </is>
      </c>
      <c r="D8" s="5" t="inlineStr">
        <is>
          <t>REC-03, REC-07, REC-08</t>
        </is>
      </c>
    </row>
    <row r="9">
      <c r="A9" s="5" t="inlineStr">
        <is>
          <t>S9-1</t>
        </is>
      </c>
      <c r="B9" s="5" t="inlineStr">
        <is>
          <t>9</t>
        </is>
      </c>
      <c r="C9" s="5" t="inlineStr">
        <is>
          <t>Level-2 row has a progress weight, also in add and edit phase drawers</t>
        </is>
      </c>
      <c r="D9" s="5" t="inlineStr">
        <is>
          <t>PW-01</t>
        </is>
      </c>
    </row>
    <row r="10">
      <c r="A10" s="5" t="inlineStr">
        <is>
          <t>S9-2</t>
        </is>
      </c>
      <c r="B10" s="5" t="inlineStr">
        <is>
          <t>9</t>
        </is>
      </c>
      <c r="C10" s="5" t="inlineStr">
        <is>
          <t>Total summary green at 100%, red otherwise with the difference; verification blocked</t>
        </is>
      </c>
      <c r="D10" s="5" t="inlineStr">
        <is>
          <t>PW-02</t>
        </is>
      </c>
    </row>
    <row r="11">
      <c r="A11" s="5" t="inlineStr">
        <is>
          <t>S9-3</t>
        </is>
      </c>
      <c r="B11" s="5" t="inlineStr">
        <is>
          <t>9</t>
        </is>
      </c>
      <c r="C11" s="5" t="inlineStr">
        <is>
          <t>Weights suggested as phase RAB ÷ total RAB, editable</t>
        </is>
      </c>
      <c r="D11" s="5" t="inlineStr">
        <is>
          <t>PW-03</t>
        </is>
      </c>
    </row>
    <row r="12">
      <c r="A12" s="5" t="inlineStr">
        <is>
          <t>S9-4</t>
        </is>
      </c>
      <c r="B12" s="5" t="inlineStr">
        <is>
          <t>9</t>
        </is>
      </c>
      <c r="C12" s="5" t="inlineStr">
        <is>
          <t>No weight input on a depth-1 auto phase</t>
        </is>
      </c>
      <c r="D12" s="5" t="inlineStr">
        <is>
          <t>PW-01</t>
        </is>
      </c>
    </row>
    <row r="13">
      <c r="A13" s="5" t="inlineStr">
        <is>
          <t>S9-5</t>
        </is>
      </c>
      <c r="B13" s="5" t="inlineStr">
        <is>
          <t>9</t>
        </is>
      </c>
      <c r="C13" s="5" t="inlineStr">
        <is>
          <t>Achievement recorded by BAST per phase; verification recognises its weight</t>
        </is>
      </c>
      <c r="D13" s="5" t="inlineStr">
        <is>
          <t>REC-03</t>
        </is>
      </c>
    </row>
    <row r="14">
      <c r="A14" s="5" t="inlineStr">
        <is>
          <t>S9-6</t>
        </is>
      </c>
      <c r="B14" s="5" t="inlineStr">
        <is>
          <t>9</t>
        </is>
      </c>
      <c r="C14" s="5" t="inlineStr">
        <is>
          <t>Deleting a weighted phase requires reweighting to 100%</t>
        </is>
      </c>
      <c r="D14" s="5" t="inlineStr">
        <is>
          <t>PW-04</t>
        </is>
      </c>
    </row>
    <row r="15">
      <c r="A15" s="5" t="inlineStr">
        <is>
          <t>S9-7</t>
        </is>
      </c>
      <c r="B15" s="5" t="inlineStr">
        <is>
          <t>9</t>
        </is>
      </c>
      <c r="C15" s="5" t="inlineStr">
        <is>
          <t>A verified phase cannot be deleted or reweighted</t>
        </is>
      </c>
      <c r="D15" s="5" t="inlineStr">
        <is>
          <t>PW-04</t>
        </is>
      </c>
    </row>
    <row r="16">
      <c r="A16" s="5" t="inlineStr">
        <is>
          <t>S9-8</t>
        </is>
      </c>
      <c r="B16" s="5" t="inlineStr">
        <is>
          <t>9</t>
        </is>
      </c>
      <c r="C16" s="5" t="inlineStr">
        <is>
          <t>Billing terms live on the contract and are not derived from weights</t>
        </is>
      </c>
      <c r="D16" s="5" t="inlineStr">
        <is>
          <t>REC-08</t>
        </is>
      </c>
    </row>
    <row r="17">
      <c r="A17" s="5" t="inlineStr">
        <is>
          <t>QA-P1a</t>
        </is>
      </c>
      <c r="B17" s="5" t="inlineStr">
        <is>
          <t>QA</t>
        </is>
      </c>
      <c r="C17" s="5" t="inlineStr">
        <is>
          <t>Verifying progress creates no invoice</t>
        </is>
      </c>
      <c r="D17" s="5" t="inlineStr">
        <is>
          <t>REC-03</t>
        </is>
      </c>
    </row>
    <row r="18">
      <c r="A18" s="5" t="inlineStr">
        <is>
          <t>QA-P1b</t>
        </is>
      </c>
      <c r="B18" s="5" t="inlineStr">
        <is>
          <t>QA</t>
        </is>
      </c>
      <c r="C18" s="5" t="inlineStr">
        <is>
          <t>Issuing a term invoice is a separate action</t>
        </is>
      </c>
      <c r="D18" s="5" t="inlineStr">
        <is>
          <t>REC-08</t>
        </is>
      </c>
    </row>
    <row r="19">
      <c r="A19" s="5" t="inlineStr">
        <is>
          <t>QA-P1c</t>
        </is>
      </c>
      <c r="B19" s="5" t="inlineStr">
        <is>
          <t>QA</t>
        </is>
      </c>
      <c r="C19" s="5" t="inlineStr">
        <is>
          <t>DP invoice before progress produces an overbilled WIP position</t>
        </is>
      </c>
      <c r="D19" s="5" t="inlineStr">
        <is>
          <t>REC-08, REC-02</t>
        </is>
      </c>
    </row>
    <row r="20">
      <c r="A20" s="5" t="inlineStr">
        <is>
          <t>QA-P1d</t>
        </is>
      </c>
      <c r="B20" s="5" t="inlineStr">
        <is>
          <t>QA</t>
        </is>
      </c>
      <c r="C20" s="5" t="inlineStr">
        <is>
          <t>WIP on an Output project is non-zero when recognition and billing diverge</t>
        </is>
      </c>
      <c r="D20" s="5" t="inlineStr">
        <is>
          <t>REC-02</t>
        </is>
      </c>
    </row>
    <row r="21">
      <c r="A21" s="5" t="inlineStr">
        <is>
          <t>QA-P2a</t>
        </is>
      </c>
      <c r="B21" s="5" t="inlineStr">
        <is>
          <t>QA</t>
        </is>
      </c>
      <c r="C21" s="5" t="inlineStr">
        <is>
          <t>Weight input exists on the Level-2 row</t>
        </is>
      </c>
      <c r="D21" s="5" t="inlineStr">
        <is>
          <t>PW-01</t>
        </is>
      </c>
    </row>
    <row r="22">
      <c r="A22" s="5" t="inlineStr">
        <is>
          <t>QA-P2b</t>
        </is>
      </c>
      <c r="B22" s="5" t="inlineStr">
        <is>
          <t>QA</t>
        </is>
      </c>
      <c r="C22" s="5" t="inlineStr">
        <is>
          <t>Weights must total 100% before verification</t>
        </is>
      </c>
      <c r="D22" s="5" t="inlineStr">
        <is>
          <t>PW-02</t>
        </is>
      </c>
    </row>
    <row r="23">
      <c r="A23" s="5" t="inlineStr">
        <is>
          <t>QA-P2c</t>
        </is>
      </c>
      <c r="B23" s="5" t="inlineStr">
        <is>
          <t>QA</t>
        </is>
      </c>
      <c r="C23" s="5" t="inlineStr">
        <is>
          <t>Suggestion = phase RAB ÷ total RAB</t>
        </is>
      </c>
      <c r="D23" s="5" t="inlineStr">
        <is>
          <t>PW-03</t>
        </is>
      </c>
    </row>
    <row r="24">
      <c r="A24" s="5" t="inlineStr">
        <is>
          <t>QA-P2d</t>
        </is>
      </c>
      <c r="B24" s="5" t="inlineStr">
        <is>
          <t>QA</t>
        </is>
      </c>
      <c r="C24" s="5" t="inlineStr">
        <is>
          <t>No weight input on a depth-1 auto phase</t>
        </is>
      </c>
      <c r="D24" s="5" t="inlineStr">
        <is>
          <t>PW-01</t>
        </is>
      </c>
    </row>
    <row r="25">
      <c r="A25" s="5" t="inlineStr">
        <is>
          <t>QA-P2e</t>
        </is>
      </c>
      <c r="B25" s="5" t="inlineStr">
        <is>
          <t>QA</t>
        </is>
      </c>
      <c r="C25" s="5" t="inlineStr">
        <is>
          <t>Verified phase cannot be deleted or reweighted</t>
        </is>
      </c>
      <c r="D25" s="5" t="inlineStr">
        <is>
          <t>PW-04</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11" customWidth="1" min="3" max="3"/>
    <col width="9" customWidth="1" min="4" max="4"/>
    <col width="10" customWidth="1" min="5" max="5"/>
    <col width="10" customWidth="1" min="6" max="6"/>
    <col width="14" customWidth="1" min="7" max="7"/>
    <col width="18" customWidth="1" min="8" max="8"/>
    <col width="18" customWidth="1" min="9" max="9"/>
    <col width="22" customWidth="1" min="10" max="10"/>
  </cols>
  <sheetData>
    <row r="1">
      <c r="A1" s="4" t="inlineStr">
        <is>
          <t>Story</t>
        </is>
      </c>
      <c r="B1" s="4" t="inlineStr">
        <is>
          <t>Title</t>
        </is>
      </c>
      <c r="C1" s="4" t="inlineStr">
        <is>
          <t>Sprint</t>
        </is>
      </c>
      <c r="D1" s="4" t="inlineStr">
        <is>
          <t>Points</t>
        </is>
      </c>
      <c r="E1" s="4" t="inlineStr">
        <is>
          <t>Criteria</t>
        </is>
      </c>
      <c r="F1" s="4" t="inlineStr">
        <is>
          <t>Valuable</t>
        </is>
      </c>
      <c r="G1" s="4" t="inlineStr">
        <is>
          <t>Small</t>
        </is>
      </c>
      <c r="H1" s="4" t="inlineStr">
        <is>
          <t>Independent</t>
        </is>
      </c>
      <c r="I1" s="4" t="inlineStr">
        <is>
          <t>Open decisions</t>
        </is>
      </c>
      <c r="J1" s="4" t="inlineStr">
        <is>
          <t>Ready?</t>
        </is>
      </c>
    </row>
    <row r="2">
      <c r="A2" s="5" t="inlineStr">
        <is>
          <t>PW-01</t>
        </is>
      </c>
      <c r="B2" s="5" t="inlineStr">
        <is>
          <t>Progress weight on the phase row and phase drawer</t>
        </is>
      </c>
      <c r="C2" s="5" t="inlineStr">
        <is>
          <t>Sprint 1</t>
        </is>
      </c>
      <c r="D2" s="5" t="n">
        <v>3</v>
      </c>
      <c r="E2" s="5">
        <f>COUNTIF('Acceptance Criteria'!B:B,A2)</f>
        <v/>
      </c>
      <c r="F2" s="5" t="inlineStr">
        <is>
          <t>Yes</t>
        </is>
      </c>
      <c r="G2" s="5" t="inlineStr">
        <is>
          <t>Yes</t>
        </is>
      </c>
      <c r="H2" s="5" t="inlineStr">
        <is>
          <t>Yes</t>
        </is>
      </c>
      <c r="I2" s="5" t="inlineStr">
        <is>
          <t>—</t>
        </is>
      </c>
      <c r="J2" s="5">
        <f>IF(I2="—","Ready","Blocked by "&amp;I2)</f>
        <v/>
      </c>
    </row>
    <row r="3">
      <c r="A3" s="5" t="inlineStr">
        <is>
          <t>PW-02</t>
        </is>
      </c>
      <c r="B3" s="5" t="inlineStr">
        <is>
          <t>Weight total summary and the 100% gate</t>
        </is>
      </c>
      <c r="C3" s="5" t="inlineStr">
        <is>
          <t>Sprint 1</t>
        </is>
      </c>
      <c r="D3" s="5" t="n">
        <v>3</v>
      </c>
      <c r="E3" s="5">
        <f>COUNTIF('Acceptance Criteria'!B:B,A3)</f>
        <v/>
      </c>
      <c r="F3" s="5" t="inlineStr">
        <is>
          <t>Yes</t>
        </is>
      </c>
      <c r="G3" s="5" t="inlineStr">
        <is>
          <t>Yes</t>
        </is>
      </c>
      <c r="H3" s="5" t="inlineStr">
        <is>
          <t>Within batch only</t>
        </is>
      </c>
      <c r="I3" s="5" t="inlineStr">
        <is>
          <t>—</t>
        </is>
      </c>
      <c r="J3" s="5">
        <f>IF(I3="—","Ready","Blocked by "&amp;I3)</f>
        <v/>
      </c>
    </row>
    <row r="4">
      <c r="A4" s="5" t="inlineStr">
        <is>
          <t>PW-03</t>
        </is>
      </c>
      <c r="B4" s="5" t="inlineStr">
        <is>
          <t>Weight suggestion from RAB</t>
        </is>
      </c>
      <c r="C4" s="5" t="inlineStr">
        <is>
          <t>Sprint 1</t>
        </is>
      </c>
      <c r="D4" s="5" t="n">
        <v>3</v>
      </c>
      <c r="E4" s="5">
        <f>COUNTIF('Acceptance Criteria'!B:B,A4)</f>
        <v/>
      </c>
      <c r="F4" s="5" t="inlineStr">
        <is>
          <t>Yes</t>
        </is>
      </c>
      <c r="G4" s="5" t="inlineStr">
        <is>
          <t>Yes</t>
        </is>
      </c>
      <c r="H4" s="5" t="inlineStr">
        <is>
          <t>Within batch only</t>
        </is>
      </c>
      <c r="I4" s="5" t="inlineStr">
        <is>
          <t>—</t>
        </is>
      </c>
      <c r="J4" s="5">
        <f>IF(I4="—","Ready","Blocked by "&amp;I4)</f>
        <v/>
      </c>
    </row>
    <row r="5">
      <c r="A5" s="5" t="inlineStr">
        <is>
          <t>PW-04</t>
        </is>
      </c>
      <c r="B5" s="5" t="inlineStr">
        <is>
          <t>Weight integrity when the structure changes</t>
        </is>
      </c>
      <c r="C5" s="5" t="inlineStr">
        <is>
          <t>Sprint 2</t>
        </is>
      </c>
      <c r="D5" s="5" t="n">
        <v>5</v>
      </c>
      <c r="E5" s="5">
        <f>COUNTIF('Acceptance Criteria'!B:B,A5)</f>
        <v/>
      </c>
      <c r="F5" s="5" t="inlineStr">
        <is>
          <t>Yes</t>
        </is>
      </c>
      <c r="G5" s="5" t="inlineStr">
        <is>
          <t>Yes</t>
        </is>
      </c>
      <c r="H5" s="5" t="inlineStr">
        <is>
          <t>Within batch only</t>
        </is>
      </c>
      <c r="I5" s="5" t="inlineStr">
        <is>
          <t>—</t>
        </is>
      </c>
      <c r="J5" s="5">
        <f>IF(I5="—","Ready","Blocked by "&amp;I5)</f>
        <v/>
      </c>
    </row>
    <row r="6">
      <c r="A6" s="5" t="inlineStr">
        <is>
          <t>REC-01</t>
        </is>
      </c>
      <c r="B6" s="5" t="inlineStr">
        <is>
          <t>One recognition method and measure, locked at approval</t>
        </is>
      </c>
      <c r="C6" s="5" t="inlineStr">
        <is>
          <t>Sprint 1</t>
        </is>
      </c>
      <c r="D6" s="5" t="n">
        <v>5</v>
      </c>
      <c r="E6" s="5">
        <f>COUNTIF('Acceptance Criteria'!B:B,A6)</f>
        <v/>
      </c>
      <c r="F6" s="5" t="inlineStr">
        <is>
          <t>Yes</t>
        </is>
      </c>
      <c r="G6" s="5" t="inlineStr">
        <is>
          <t>Yes</t>
        </is>
      </c>
      <c r="H6" s="5" t="inlineStr">
        <is>
          <t>Yes</t>
        </is>
      </c>
      <c r="I6" s="5" t="inlineStr">
        <is>
          <t>—</t>
        </is>
      </c>
      <c r="J6" s="5">
        <f>IF(I6="—","Ready","Blocked by "&amp;I6)</f>
        <v/>
      </c>
    </row>
    <row r="7">
      <c r="A7" s="5" t="inlineStr">
        <is>
          <t>REC-02</t>
        </is>
      </c>
      <c r="B7" s="5" t="inlineStr">
        <is>
          <t>Two clocks: recognition and billing ledgers with WIP position</t>
        </is>
      </c>
      <c r="C7" s="5" t="inlineStr">
        <is>
          <t>Sprint 2</t>
        </is>
      </c>
      <c r="D7" s="5" t="n">
        <v>8</v>
      </c>
      <c r="E7" s="5">
        <f>COUNTIF('Acceptance Criteria'!B:B,A7)</f>
        <v/>
      </c>
      <c r="F7" s="5" t="inlineStr">
        <is>
          <t>Yes</t>
        </is>
      </c>
      <c r="G7" s="5" t="inlineStr">
        <is>
          <t>Watch (8 pts)</t>
        </is>
      </c>
      <c r="H7" s="5" t="inlineStr">
        <is>
          <t>Yes</t>
        </is>
      </c>
      <c r="I7" s="5" t="inlineStr">
        <is>
          <t>G1, G5</t>
        </is>
      </c>
      <c r="J7" s="5">
        <f>IF(I7="—","Ready","Blocked by "&amp;I7)</f>
        <v/>
      </c>
    </row>
    <row r="8">
      <c r="A8" s="5" t="inlineStr">
        <is>
          <t>REC-03</t>
        </is>
      </c>
      <c r="B8" s="5" t="inlineStr">
        <is>
          <t>Verify a phase by BAST — recognition only, no invoice</t>
        </is>
      </c>
      <c r="C8" s="5" t="inlineStr">
        <is>
          <t>Sprint 2</t>
        </is>
      </c>
      <c r="D8" s="5" t="n">
        <v>5</v>
      </c>
      <c r="E8" s="5">
        <f>COUNTIF('Acceptance Criteria'!B:B,A8)</f>
        <v/>
      </c>
      <c r="F8" s="5" t="inlineStr">
        <is>
          <t>Yes</t>
        </is>
      </c>
      <c r="G8" s="5" t="inlineStr">
        <is>
          <t>Yes</t>
        </is>
      </c>
      <c r="H8" s="5" t="inlineStr">
        <is>
          <t>Within batch only</t>
        </is>
      </c>
      <c r="I8" s="5" t="inlineStr">
        <is>
          <t>G5</t>
        </is>
      </c>
      <c r="J8" s="5">
        <f>IF(I8="—","Ready","Blocked by "&amp;I8)</f>
        <v/>
      </c>
    </row>
    <row r="9">
      <c r="A9" s="5" t="inlineStr">
        <is>
          <t>REC-04</t>
        </is>
      </c>
      <c r="B9" s="5" t="inlineStr">
        <is>
          <t>Output · unit recognition run</t>
        </is>
      </c>
      <c r="C9" s="5" t="inlineStr">
        <is>
          <t>Sprint 3</t>
        </is>
      </c>
      <c r="D9" s="5" t="n">
        <v>5</v>
      </c>
      <c r="E9" s="5">
        <f>COUNTIF('Acceptance Criteria'!B:B,A9)</f>
        <v/>
      </c>
      <c r="F9" s="5" t="inlineStr">
        <is>
          <t>Yes</t>
        </is>
      </c>
      <c r="G9" s="5" t="inlineStr">
        <is>
          <t>Yes</t>
        </is>
      </c>
      <c r="H9" s="5" t="inlineStr">
        <is>
          <t>Within batch only</t>
        </is>
      </c>
      <c r="I9" s="5" t="inlineStr">
        <is>
          <t>G5, G7</t>
        </is>
      </c>
      <c r="J9" s="5">
        <f>IF(I9="—","Ready","Blocked by "&amp;I9)</f>
        <v/>
      </c>
    </row>
    <row r="10">
      <c r="A10" s="5" t="inlineStr">
        <is>
          <t>REC-05</t>
        </is>
      </c>
      <c r="B10" s="5" t="inlineStr">
        <is>
          <t>Input (cost-to-cost) recognition run</t>
        </is>
      </c>
      <c r="C10" s="5" t="inlineStr">
        <is>
          <t>Sprint 3</t>
        </is>
      </c>
      <c r="D10" s="5" t="n">
        <v>5</v>
      </c>
      <c r="E10" s="5">
        <f>COUNTIF('Acceptance Criteria'!B:B,A10)</f>
        <v/>
      </c>
      <c r="F10" s="5" t="inlineStr">
        <is>
          <t>Yes</t>
        </is>
      </c>
      <c r="G10" s="5" t="inlineStr">
        <is>
          <t>Yes</t>
        </is>
      </c>
      <c r="H10" s="5" t="inlineStr">
        <is>
          <t>Within batch only</t>
        </is>
      </c>
      <c r="I10" s="5" t="inlineStr">
        <is>
          <t>G3, G5</t>
        </is>
      </c>
      <c r="J10" s="5">
        <f>IF(I10="—","Ready","Blocked by "&amp;I10)</f>
        <v/>
      </c>
    </row>
    <row r="11">
      <c r="A11" s="5" t="inlineStr">
        <is>
          <t>REC-06</t>
        </is>
      </c>
      <c r="B11" s="5" t="inlineStr">
        <is>
          <t>T&amp;M: bill / write-down / write-up decision per entry</t>
        </is>
      </c>
      <c r="C11" s="5" t="inlineStr">
        <is>
          <t>Sprint 4</t>
        </is>
      </c>
      <c r="D11" s="5" t="n">
        <v>5</v>
      </c>
      <c r="E11" s="5">
        <f>COUNTIF('Acceptance Criteria'!B:B,A11)</f>
        <v/>
      </c>
      <c r="F11" s="5" t="inlineStr">
        <is>
          <t>Yes</t>
        </is>
      </c>
      <c r="G11" s="5" t="inlineStr">
        <is>
          <t>Yes</t>
        </is>
      </c>
      <c r="H11" s="5" t="inlineStr">
        <is>
          <t>Within batch only</t>
        </is>
      </c>
      <c r="I11" s="5" t="inlineStr">
        <is>
          <t>G5</t>
        </is>
      </c>
      <c r="J11" s="5">
        <f>IF(I11="—","Ready","Blocked by "&amp;I11)</f>
        <v/>
      </c>
    </row>
    <row r="12">
      <c r="A12" s="5" t="inlineStr">
        <is>
          <t>REC-07</t>
        </is>
      </c>
      <c r="B12" s="5" t="inlineStr">
        <is>
          <t>T&amp;M: invoice decided entries (billing + recognition as two postings)</t>
        </is>
      </c>
      <c r="C12" s="5" t="inlineStr">
        <is>
          <t>Sprint 4</t>
        </is>
      </c>
      <c r="D12" s="5" t="n">
        <v>3</v>
      </c>
      <c r="E12" s="5">
        <f>COUNTIF('Acceptance Criteria'!B:B,A12)</f>
        <v/>
      </c>
      <c r="F12" s="5" t="inlineStr">
        <is>
          <t>Yes</t>
        </is>
      </c>
      <c r="G12" s="5" t="inlineStr">
        <is>
          <t>Yes</t>
        </is>
      </c>
      <c r="H12" s="5" t="inlineStr">
        <is>
          <t>Within batch only</t>
        </is>
      </c>
      <c r="I12" s="5" t="inlineStr">
        <is>
          <t>G5</t>
        </is>
      </c>
      <c r="J12" s="5">
        <f>IF(I12="—","Ready","Blocked by "&amp;I12)</f>
        <v/>
      </c>
    </row>
    <row r="13">
      <c r="A13" s="5" t="inlineStr">
        <is>
          <t>REC-08</t>
        </is>
      </c>
      <c r="B13" s="5" t="inlineStr">
        <is>
          <t>Contract billing terms and term invoices (billing only)</t>
        </is>
      </c>
      <c r="C13" s="5" t="inlineStr">
        <is>
          <t>Sprint 3</t>
        </is>
      </c>
      <c r="D13" s="5" t="n">
        <v>8</v>
      </c>
      <c r="E13" s="5">
        <f>COUNTIF('Acceptance Criteria'!B:B,A13)</f>
        <v/>
      </c>
      <c r="F13" s="5" t="inlineStr">
        <is>
          <t>Yes</t>
        </is>
      </c>
      <c r="G13" s="5" t="inlineStr">
        <is>
          <t>Watch (8 pts)</t>
        </is>
      </c>
      <c r="H13" s="5" t="inlineStr">
        <is>
          <t>Within batch only</t>
        </is>
      </c>
      <c r="I13" s="5" t="inlineStr">
        <is>
          <t>G5, G8, OQ11</t>
        </is>
      </c>
      <c r="J13" s="5">
        <f>IF(I13="—","Ready","Blocked by "&amp;I13)</f>
        <v/>
      </c>
    </row>
    <row r="15">
      <c r="A15" s="2" t="inlineStr">
        <is>
          <t>Points by sprint</t>
        </is>
      </c>
    </row>
    <row r="16">
      <c r="A16" s="2" t="inlineStr">
        <is>
          <t>Sprint 1</t>
        </is>
      </c>
      <c r="B16" s="3" t="inlineStr">
        <is>
          <t>Foundation — Smallest, no cross-module dependency; unblocks every other story.</t>
        </is>
      </c>
      <c r="D16" s="6">
        <f>SUMIFS(D$2:D$13,C$2:C$13,A16)</f>
        <v/>
      </c>
    </row>
    <row r="17">
      <c r="A17" s="2" t="inlineStr">
        <is>
          <t>Sprint 2</t>
        </is>
      </c>
      <c r="B17" s="3" t="inlineStr">
        <is>
          <t>Two-clock ledger + milestone recognition — Needs G1 and G5 decided before estimation. Closes P1 and P2 for milestone projects.</t>
        </is>
      </c>
      <c r="D17" s="6">
        <f>SUMIFS(D$2:D$13,C$2:C$13,A17)</f>
        <v/>
      </c>
    </row>
    <row r="18">
      <c r="A18" s="2" t="inlineStr">
        <is>
          <t>Sprint 3</t>
        </is>
      </c>
      <c r="B18" s="3" t="inlineStr">
        <is>
          <t>Billing terms + unit / input runs — Needs contract-module terms (OQ11) and a budget baseline (UI phase 2).</t>
        </is>
      </c>
      <c r="D18" s="6">
        <f>SUMIFS(D$2:D$13,C$2:C$13,A18)</f>
        <v/>
      </c>
    </row>
    <row r="19">
      <c r="A19" s="2" t="inlineStr">
        <is>
          <t>Sprint 4</t>
        </is>
      </c>
      <c r="B19" s="3" t="inlineStr">
        <is>
          <t>T&amp;M — Needs Timesheet module entries with project lines.</t>
        </is>
      </c>
      <c r="D19" s="6">
        <f>SUMIFS(D$2:D$13,C$2:C$13,A19)</f>
        <v/>
      </c>
    </row>
    <row r="20">
      <c r="A20" s="2" t="inlineStr">
        <is>
          <t>Total</t>
        </is>
      </c>
      <c r="D20" s="2">
        <f>SUM(D16:D19)</f>
        <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70" customWidth="1" min="3" max="3"/>
    <col width="20" customWidth="1" min="4" max="4"/>
    <col width="16" customWidth="1" min="5" max="5"/>
    <col width="20" customWidth="1" min="6" max="6"/>
  </cols>
  <sheetData>
    <row r="1">
      <c r="A1" s="4" t="inlineStr">
        <is>
          <t>Gap ID</t>
        </is>
      </c>
      <c r="B1" s="4" t="inlineStr">
        <is>
          <t>Question</t>
        </is>
      </c>
      <c r="C1" s="4" t="inlineStr">
        <is>
          <t>Recommendation</t>
        </is>
      </c>
      <c r="D1" s="4" t="inlineStr">
        <is>
          <t>Status</t>
        </is>
      </c>
      <c r="E1" s="4" t="inlineStr">
        <is>
          <t>Affects</t>
        </is>
      </c>
      <c r="F1" s="4" t="inlineStr">
        <is>
          <t>Owner</t>
        </is>
      </c>
    </row>
    <row r="2">
      <c r="A2" s="5" t="inlineStr">
        <is>
          <t>G1</t>
        </is>
      </c>
      <c r="B2" s="5" t="inlineStr">
        <is>
          <t>GL posting spec for recognition and billing is not written (PRD constraint).</t>
        </is>
      </c>
      <c r="C2" s="5" t="inlineStr">
        <is>
          <t>Recognition: Dr Contract asset (unbilled revenue) / Cr Revenue. Billing: Dr Accounts receivable / Cr Contract asset up to its balance, remainder Cr Contract liability. Report the net per project as WIP.</t>
        </is>
      </c>
      <c r="D2" s="5" t="inlineStr">
        <is>
          <t>Estimation-blocking</t>
        </is>
      </c>
      <c r="E2" s="5" t="inlineStr">
        <is>
          <t>REC-02</t>
        </is>
      </c>
      <c r="F2" s="5" t="inlineStr">
        <is>
          <t>Finance + Engineering</t>
        </is>
      </c>
    </row>
    <row r="3">
      <c r="A3" s="5" t="inlineStr">
        <is>
          <t>G5</t>
        </is>
      </c>
      <c r="B3" s="5" t="inlineStr">
        <is>
          <t>Which date recognition and billing post on, and whether backdating is allowed.</t>
        </is>
      </c>
      <c r="C3" s="5" t="inlineStr">
        <is>
          <t>Default today; may be backdated only within an open accounting period; closed periods are refused.</t>
        </is>
      </c>
      <c r="D3" s="5" t="inlineStr">
        <is>
          <t>Estimation-blocking</t>
        </is>
      </c>
      <c r="E3" s="5" t="inlineStr">
        <is>
          <t>REC-02…08</t>
        </is>
      </c>
      <c r="F3" s="5" t="inlineStr">
        <is>
          <t>Finance</t>
        </is>
      </c>
    </row>
    <row r="4">
      <c r="A4" s="5" t="inlineStr">
        <is>
          <t>G3</t>
        </is>
      </c>
      <c r="B4" s="5" t="inlineStr">
        <is>
          <t>Input method denominator: include phase reserves or only allocated budget?</t>
        </is>
      </c>
      <c r="C4" s="5" t="inlineStr">
        <is>
          <t>Current approved cost budget including reserves (what the prototype does). Finance to confirm.</t>
        </is>
      </c>
      <c r="D4" s="5" t="inlineStr">
        <is>
          <t>Needs decision</t>
        </is>
      </c>
      <c r="E4" s="5" t="inlineStr">
        <is>
          <t>REC-05</t>
        </is>
      </c>
      <c r="F4" s="5" t="inlineStr">
        <is>
          <t>Finance</t>
        </is>
      </c>
    </row>
    <row r="5">
      <c r="A5" s="5" t="inlineStr">
        <is>
          <t>G4</t>
        </is>
      </c>
      <c r="B5" s="5" t="inlineStr">
        <is>
          <t>Input method when actual cost exceeds budget (onerous contract / loss provision).</t>
        </is>
      </c>
      <c r="C5" s="5" t="inlineStr">
        <is>
          <t>Cap % at 100% and warn; loss provision is out of MVP scope and logged as a future story.</t>
        </is>
      </c>
      <c r="D5" s="5" t="inlineStr">
        <is>
          <t>Scope note</t>
        </is>
      </c>
      <c r="E5" s="5" t="inlineStr">
        <is>
          <t>REC-05</t>
        </is>
      </c>
      <c r="F5" s="5" t="inlineStr">
        <is>
          <t>Product + Finance</t>
        </is>
      </c>
    </row>
    <row r="6">
      <c r="A6" s="5" t="inlineStr">
        <is>
          <t>G6</t>
        </is>
      </c>
      <c r="B6" s="5" t="inlineStr">
        <is>
          <t>How a wrong recognition (e.g. a BAST recorded in error) is corrected.</t>
        </is>
      </c>
      <c r="C6" s="5" t="inlineStr">
        <is>
          <t>Finance-only reversal posting with a reason; the phase returns to unverified; never delete a posting.</t>
        </is>
      </c>
      <c r="D6" s="5" t="inlineStr">
        <is>
          <t>New requirement</t>
        </is>
      </c>
      <c r="E6" s="5" t="inlineStr">
        <is>
          <t>REC-02, REC-03</t>
        </is>
      </c>
      <c r="F6" s="5" t="inlineStr">
        <is>
          <t>Product + Finance</t>
        </is>
      </c>
    </row>
    <row r="7">
      <c r="A7" s="5" t="inlineStr">
        <is>
          <t>G7</t>
        </is>
      </c>
      <c r="B7" s="5" t="inlineStr">
        <is>
          <t>Source of confirmed units for Output · unit.</t>
        </is>
      </c>
      <c r="C7" s="5" t="inlineStr">
        <is>
          <t>Production: WO output received. Service: BAST quantity. Manual edits are audited.</t>
        </is>
      </c>
      <c r="D7" s="5" t="inlineStr">
        <is>
          <t>Needs decision</t>
        </is>
      </c>
      <c r="E7" s="5" t="inlineStr">
        <is>
          <t>REC-04</t>
        </is>
      </c>
      <c r="F7" s="5" t="inlineStr">
        <is>
          <t>Product + Production</t>
        </is>
      </c>
    </row>
    <row r="8">
      <c r="A8" s="5" t="inlineStr">
        <is>
          <t>G8</t>
        </is>
      </c>
      <c r="B8" s="5" t="inlineStr">
        <is>
          <t>Term amount after a change order changes the contract value.</t>
        </is>
      </c>
      <c r="C8" s="5" t="inlineStr">
        <is>
          <t>Uninvoiced terms recalculate on the new value; invoiced terms never change. Depends on OQ11 (terms owned by the contract module).</t>
        </is>
      </c>
      <c r="D8" s="5" t="inlineStr">
        <is>
          <t>Needs decision</t>
        </is>
      </c>
      <c r="E8" s="5" t="inlineStr">
        <is>
          <t>REC-08</t>
        </is>
      </c>
      <c r="F8" s="5" t="inlineStr">
        <is>
          <t>Product</t>
        </is>
      </c>
    </row>
    <row r="9">
      <c r="A9" s="5" t="inlineStr">
        <is>
          <t>G9</t>
        </is>
      </c>
      <c r="B9" s="5" t="inlineStr">
        <is>
          <t>Precision of progress weights.</t>
        </is>
      </c>
      <c r="C9" s="5" t="inlineStr">
        <is>
          <t>Max 2 decimals; the 100% check compares at 2 dp.</t>
        </is>
      </c>
      <c r="D9" s="5" t="inlineStr">
        <is>
          <t>Closed (assumed)</t>
        </is>
      </c>
      <c r="E9" s="5" t="inlineStr">
        <is>
          <t>PW-01, PW-02</t>
        </is>
      </c>
      <c r="F9" s="5" t="inlineStr">
        <is>
          <t>Product</t>
        </is>
      </c>
    </row>
    <row r="10">
      <c r="A10" s="5" t="inlineStr">
        <is>
          <t>G10</t>
        </is>
      </c>
      <c r="B10" s="5" t="inlineStr">
        <is>
          <t>Is a reason required for T&amp;M write-down / write-up?</t>
        </is>
      </c>
      <c r="C10" s="5" t="inlineStr">
        <is>
          <t>Yes, 5–300 characters. The prototype didn’t require one — added as a new requirement.</t>
        </is>
      </c>
      <c r="D10" s="5" t="inlineStr">
        <is>
          <t>New requirement</t>
        </is>
      </c>
      <c r="E10" s="5" t="inlineStr">
        <is>
          <t>REC-06</t>
        </is>
      </c>
      <c r="F10" s="5" t="inlineStr">
        <is>
          <t>Product</t>
        </is>
      </c>
    </row>
    <row r="11">
      <c r="A11" s="5" t="inlineStr">
        <is>
          <t>G11</t>
        </is>
      </c>
      <c r="B11" s="5" t="inlineStr">
        <is>
          <t>Who may verify a phase by BAST.</t>
        </is>
      </c>
      <c r="C11" s="5" t="inlineStr">
        <is>
          <t>PM or Finance; Finance alone may reverse (G6).</t>
        </is>
      </c>
      <c r="D11" s="5" t="inlineStr">
        <is>
          <t>Closed (assumed)</t>
        </is>
      </c>
      <c r="E11" s="5" t="inlineStr">
        <is>
          <t>REC-03</t>
        </is>
      </c>
      <c r="F11" s="5" t="inlineStr">
        <is>
          <t>Product</t>
        </is>
      </c>
    </row>
    <row r="12">
      <c r="A12" s="5" t="inlineStr">
        <is>
          <t>G12</t>
        </is>
      </c>
      <c r="B12" s="5" t="inlineStr">
        <is>
          <t>Currency.</t>
        </is>
      </c>
      <c r="C12" s="5" t="inlineStr">
        <is>
          <t>IDR only in MVP; multi-currency contracts out of scope.</t>
        </is>
      </c>
      <c r="D12" s="5" t="inlineStr">
        <is>
          <t>Scope note</t>
        </is>
      </c>
      <c r="E12" s="5" t="inlineStr">
        <is>
          <t>All</t>
        </is>
      </c>
      <c r="F12" s="5" t="inlineStr">
        <is>
          <t>Product</t>
        </is>
      </c>
    </row>
    <row r="13">
      <c r="A13" s="5" t="inlineStr">
        <is>
          <t>OQ3</t>
        </is>
      </c>
      <c r="B13" s="5" t="inlineStr">
        <is>
          <t>Accounting review of weights sourced from RAB.</t>
        </is>
      </c>
      <c r="C13" s="5" t="inlineStr">
        <is>
          <t>Provisional: accept, editable by PM (plan Part 3).</t>
        </is>
      </c>
      <c r="D13" s="5" t="inlineStr">
        <is>
          <t>Provisional</t>
        </is>
      </c>
      <c r="E13" s="5" t="inlineStr">
        <is>
          <t>PW-03</t>
        </is>
      </c>
      <c r="F13" s="5" t="inlineStr">
        <is>
          <t>Finance</t>
        </is>
      </c>
    </row>
    <row r="14">
      <c r="A14" s="5" t="inlineStr">
        <is>
          <t>OQ6</t>
        </is>
      </c>
      <c r="B14" s="5" t="inlineStr">
        <is>
          <t>Unit Output × service work package.</t>
        </is>
      </c>
      <c r="C14" s="5" t="inlineStr">
        <is>
          <t>Provisional: option A.</t>
        </is>
      </c>
      <c r="D14" s="5" t="inlineStr">
        <is>
          <t>Provisional</t>
        </is>
      </c>
      <c r="E14" s="5" t="inlineStr">
        <is>
          <t>REC-04</t>
        </is>
      </c>
      <c r="F14" s="5" t="inlineStr">
        <is>
          <t>Product + Finance</t>
        </is>
      </c>
    </row>
    <row r="15">
      <c r="A15" s="5" t="inlineStr">
        <is>
          <t>OQ11</t>
        </is>
      </c>
      <c r="B15" s="5" t="inlineStr">
        <is>
          <t>Are billing terms specified in this PRD or the contract module?</t>
        </is>
      </c>
      <c r="C15" s="5" t="inlineStr">
        <is>
          <t>Provisional: the contract/SO module owns them; this module reads.</t>
        </is>
      </c>
      <c r="D15" s="5" t="inlineStr">
        <is>
          <t>Provisional</t>
        </is>
      </c>
      <c r="E15" s="5" t="inlineStr">
        <is>
          <t>REC-08</t>
        </is>
      </c>
      <c r="F15" s="5" t="inlineStr">
        <is>
          <t>Product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2026-09-22T04:04:57Z</dcterms:created>
  <dcterms:modified xsi:type="dcterms:W3CDTF">2026-09-22T04:04:57Z</dcterms:modified>
</cp:coreProperties>
</file>